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E74280\Desktop\"/>
    </mc:Choice>
  </mc:AlternateContent>
  <xr:revisionPtr revIDLastSave="0" documentId="13_ncr:1_{4027B781-8214-4AAC-B81F-E4A30CE252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nt HQ" sheetId="11" r:id="rId1"/>
    <sheet name="cash flow FGA" sheetId="18" r:id="rId2"/>
    <sheet name="CEE view" sheetId="1" r:id="rId3"/>
    <sheet name="input CEE" sheetId="22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_123Graph_DCorrente" hidden="1">'[1]Cluster 16'!#REF!</definedName>
    <definedName name="_xlnm._FilterDatabase" localSheetId="2" hidden="1">'CEE view'!$A$1:$A$114</definedName>
    <definedName name="balance_type">1</definedName>
    <definedName name="BEx3O85IKWARA6NCJOLRBRJFMEWW" localSheetId="1" hidden="1">[2]Table!#REF!</definedName>
    <definedName name="BEx3O85IKWARA6NCJOLRBRJFMEWW" hidden="1">[2]Table!#REF!</definedName>
    <definedName name="BEx5MLQZM68YQSKARVWTTPINFQ2C" localSheetId="1" hidden="1">[2]Table!#REF!</definedName>
    <definedName name="BEx5MLQZM68YQSKARVWTTPINFQ2C" hidden="1">[2]Table!#REF!</definedName>
    <definedName name="BExERWCEBKQRYWRQLYJ4UCMMKTHG" localSheetId="1" hidden="1">[2]Table!#REF!</definedName>
    <definedName name="BExERWCEBKQRYWRQLYJ4UCMMKTHG" hidden="1">[2]Table!#REF!</definedName>
    <definedName name="BExMBYPQDG9AYDQ5E8IECVFREPO6" localSheetId="1" hidden="1">[2]Table!#REF!</definedName>
    <definedName name="BExMBYPQDG9AYDQ5E8IECVFREPO6" hidden="1">[2]Table!#REF!</definedName>
    <definedName name="BExQ9ZLYHWABXAA9NJDW8ZS0UQ9P" localSheetId="1" hidden="1">[2]Table!#REF!</definedName>
    <definedName name="BExQ9ZLYHWABXAA9NJDW8ZS0UQ9P" hidden="1">[2]Table!#REF!</definedName>
    <definedName name="BExTUY9WNSJ91GV8CP0SKJTEIV82" localSheetId="1" hidden="1">[2]Table!#REF!</definedName>
    <definedName name="BExTUY9WNSJ91GV8CP0SKJTEIV82" hidden="1">[2]Table!#REF!</definedName>
    <definedName name="calc">1</definedName>
    <definedName name="co">100</definedName>
    <definedName name="Codici">#REF!</definedName>
    <definedName name="DATOS">[3]VALRET!$C$9:$AV$120</definedName>
    <definedName name="FY">2004</definedName>
    <definedName name="HOJA">'[4]HOJA DE DATOS'!$C$6:$R$121</definedName>
    <definedName name="howToChange" localSheetId="1">#REF!</definedName>
    <definedName name="howToChange" localSheetId="0">#REF!</definedName>
    <definedName name="howToChange">#REF!</definedName>
    <definedName name="howToCheck" localSheetId="1">#REF!</definedName>
    <definedName name="howToCheck" localSheetId="0">#REF!</definedName>
    <definedName name="howToCheck">#REF!</definedName>
    <definedName name="LOLD">1</definedName>
    <definedName name="LOLD_Table">120</definedName>
    <definedName name="NIF_DEALER">[5]Dealers!$C:$C</definedName>
    <definedName name="NOMBRE_DEALER">[5]Dealers!$A:$A</definedName>
    <definedName name="ORDINI_ATTIVI_YTD">#REF!</definedName>
    <definedName name="period">12</definedName>
    <definedName name="round">1</definedName>
    <definedName name="SAPBEXhrIndnt" hidden="1">"Wide"</definedName>
    <definedName name="SAPsysID" hidden="1">"708C5W7SBKP804JT78WJ0JNKI"</definedName>
    <definedName name="SAPwbID" hidden="1">"ARS"</definedName>
    <definedName name="Stop">"Objet 33"</definedName>
    <definedName name="TA_2002" localSheetId="1">#REF!</definedName>
    <definedName name="TA_2002" localSheetId="0">#REF!</definedName>
    <definedName name="TA_2002">#REF!</definedName>
    <definedName name="TA_GLOBAL" localSheetId="1">#REF!</definedName>
    <definedName name="TA_GLOBAL" localSheetId="0">#REF!</definedName>
    <definedName name="TA_GLOBAL">#REF!</definedName>
    <definedName name="TABLEAUENCOURS" localSheetId="1">#REF!</definedName>
    <definedName name="TABLEAUENCOURS" localSheetId="0">#REF!</definedName>
    <definedName name="TABLEAUENCOURS">#REF!</definedName>
    <definedName name="value">3</definedName>
    <definedName name="versionno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" l="1"/>
  <c r="E75" i="1"/>
  <c r="C75" i="1"/>
  <c r="D76" i="1" l="1"/>
  <c r="E76" i="1"/>
  <c r="C76" i="1"/>
  <c r="C57" i="1" l="1"/>
  <c r="D57" i="1"/>
  <c r="E57" i="1"/>
  <c r="C58" i="1"/>
  <c r="D58" i="1"/>
  <c r="C59" i="1"/>
  <c r="D59" i="1"/>
  <c r="E59" i="1"/>
  <c r="E58" i="1"/>
  <c r="C122" i="22" l="1"/>
  <c r="D122" i="22"/>
  <c r="B122" i="22"/>
  <c r="C65" i="22" l="1"/>
  <c r="D70" i="1" s="1"/>
  <c r="D65" i="22"/>
  <c r="E70" i="1" s="1"/>
  <c r="B65" i="22"/>
  <c r="C70" i="1" s="1"/>
  <c r="C52" i="22"/>
  <c r="D71" i="1" s="1"/>
  <c r="D52" i="22"/>
  <c r="E71" i="1" s="1"/>
  <c r="B52" i="22"/>
  <c r="C71" i="1" s="1"/>
  <c r="C29" i="22"/>
  <c r="D29" i="22"/>
  <c r="B29" i="22"/>
  <c r="E26" i="1" l="1"/>
  <c r="D26" i="1"/>
  <c r="C26" i="1"/>
  <c r="E25" i="1"/>
  <c r="D25" i="1"/>
  <c r="C25" i="1"/>
  <c r="C45" i="1"/>
  <c r="D45" i="1"/>
  <c r="E45" i="1"/>
  <c r="I26" i="22"/>
  <c r="H26" i="22"/>
  <c r="G26" i="22"/>
  <c r="D23" i="22"/>
  <c r="D22" i="22" s="1"/>
  <c r="C23" i="22"/>
  <c r="D43" i="1" s="1"/>
  <c r="B23" i="22"/>
  <c r="B22" i="22" s="1"/>
  <c r="C43" i="1" l="1"/>
  <c r="E43" i="1"/>
  <c r="C22" i="22"/>
  <c r="E77" i="1"/>
  <c r="D77" i="1"/>
  <c r="E74" i="1"/>
  <c r="E14" i="11" s="1"/>
  <c r="D74" i="1"/>
  <c r="D14" i="11" s="1"/>
  <c r="E73" i="1"/>
  <c r="D73" i="1"/>
  <c r="C77" i="1"/>
  <c r="C74" i="1"/>
  <c r="C14" i="11" s="1"/>
  <c r="C73" i="1"/>
  <c r="E52" i="1"/>
  <c r="D52" i="1"/>
  <c r="C52" i="1"/>
  <c r="E62" i="1"/>
  <c r="D62" i="1"/>
  <c r="E61" i="1"/>
  <c r="D61" i="1"/>
  <c r="C61" i="1"/>
  <c r="C62" i="1"/>
  <c r="E56" i="1"/>
  <c r="D56" i="1"/>
  <c r="E55" i="1"/>
  <c r="D55" i="1"/>
  <c r="E54" i="1"/>
  <c r="D54" i="1"/>
  <c r="E51" i="1"/>
  <c r="D51" i="1"/>
  <c r="C51" i="1"/>
  <c r="G58" i="1" l="1"/>
  <c r="H58" i="1"/>
  <c r="H59" i="1"/>
  <c r="E53" i="1"/>
  <c r="G59" i="1"/>
  <c r="D53" i="1"/>
  <c r="G10" i="22"/>
  <c r="G4" i="22" s="1"/>
  <c r="I10" i="22"/>
  <c r="I4" i="22" s="1"/>
  <c r="H10" i="22"/>
  <c r="H4" i="22" s="1"/>
  <c r="B39" i="22"/>
  <c r="C39" i="22"/>
  <c r="D39" i="22"/>
  <c r="B46" i="22"/>
  <c r="C46" i="22"/>
  <c r="D46" i="22"/>
  <c r="B49" i="22"/>
  <c r="C8" i="1" s="1"/>
  <c r="C49" i="22"/>
  <c r="D8" i="1" s="1"/>
  <c r="D49" i="22"/>
  <c r="E8" i="1" s="1"/>
  <c r="B56" i="22"/>
  <c r="C56" i="22"/>
  <c r="D56" i="22"/>
  <c r="B59" i="22"/>
  <c r="C59" i="22"/>
  <c r="D59" i="22"/>
  <c r="B62" i="22"/>
  <c r="C62" i="22"/>
  <c r="D62" i="22"/>
  <c r="B74" i="22"/>
  <c r="C74" i="22"/>
  <c r="D74" i="22"/>
  <c r="B79" i="22"/>
  <c r="C79" i="22"/>
  <c r="D79" i="22"/>
  <c r="B90" i="22"/>
  <c r="C90" i="22"/>
  <c r="D90" i="22"/>
  <c r="B92" i="22"/>
  <c r="C92" i="22"/>
  <c r="D92" i="22"/>
  <c r="B103" i="22"/>
  <c r="C103" i="22"/>
  <c r="D103" i="22"/>
  <c r="B109" i="22"/>
  <c r="C109" i="22"/>
  <c r="D109" i="22"/>
  <c r="B128" i="22"/>
  <c r="C128" i="22"/>
  <c r="D128" i="22"/>
  <c r="B133" i="22"/>
  <c r="C7" i="11" s="1"/>
  <c r="C133" i="22"/>
  <c r="D7" i="11" s="1"/>
  <c r="D133" i="22"/>
  <c r="E7" i="11" s="1"/>
  <c r="B142" i="22"/>
  <c r="C142" i="22"/>
  <c r="D142" i="22"/>
  <c r="B147" i="22"/>
  <c r="C147" i="22"/>
  <c r="D147" i="22"/>
  <c r="B154" i="22"/>
  <c r="C154" i="22"/>
  <c r="D154" i="22"/>
  <c r="G32" i="22"/>
  <c r="H32" i="22"/>
  <c r="I32" i="22"/>
  <c r="G36" i="22"/>
  <c r="H36" i="22"/>
  <c r="I36" i="22"/>
  <c r="G39" i="22"/>
  <c r="H39" i="22"/>
  <c r="I39" i="22"/>
  <c r="G42" i="22"/>
  <c r="H42" i="22"/>
  <c r="I42" i="22"/>
  <c r="G45" i="22"/>
  <c r="H45" i="22"/>
  <c r="I45" i="22"/>
  <c r="G48" i="22"/>
  <c r="H48" i="22"/>
  <c r="I48" i="22"/>
  <c r="G51" i="22"/>
  <c r="H51" i="22"/>
  <c r="I51" i="22"/>
  <c r="G54" i="22"/>
  <c r="H54" i="22"/>
  <c r="I54" i="22"/>
  <c r="G57" i="22"/>
  <c r="H57" i="22"/>
  <c r="I57" i="22"/>
  <c r="G60" i="22"/>
  <c r="C78" i="1" s="1"/>
  <c r="C13" i="11" s="1"/>
  <c r="H60" i="22"/>
  <c r="D78" i="1" s="1"/>
  <c r="D13" i="11" s="1"/>
  <c r="I60" i="22"/>
  <c r="E78" i="1" s="1"/>
  <c r="E13" i="11" s="1"/>
  <c r="G63" i="22"/>
  <c r="H63" i="22"/>
  <c r="I63" i="22"/>
  <c r="G66" i="22"/>
  <c r="H66" i="22"/>
  <c r="I66" i="22"/>
  <c r="G69" i="22"/>
  <c r="H69" i="22"/>
  <c r="I69" i="22"/>
  <c r="C24" i="1" l="1"/>
  <c r="E24" i="1"/>
  <c r="F7" i="11"/>
  <c r="C45" i="22"/>
  <c r="C38" i="22" s="1"/>
  <c r="D45" i="22"/>
  <c r="D38" i="22" s="1"/>
  <c r="B45" i="22"/>
  <c r="B38" i="22" s="1"/>
  <c r="D24" i="1"/>
  <c r="H35" i="22"/>
  <c r="C141" i="22"/>
  <c r="D121" i="22"/>
  <c r="B121" i="22"/>
  <c r="D99" i="22"/>
  <c r="D119" i="22" s="1"/>
  <c r="B99" i="22"/>
  <c r="B119" i="22" s="1"/>
  <c r="D141" i="22"/>
  <c r="B141" i="22"/>
  <c r="C121" i="22"/>
  <c r="C99" i="22"/>
  <c r="C119" i="22" s="1"/>
  <c r="I35" i="22"/>
  <c r="G35" i="22"/>
  <c r="L74" i="1"/>
  <c r="L73" i="1"/>
  <c r="L64" i="1"/>
  <c r="L63" i="1"/>
  <c r="L46" i="1"/>
  <c r="L28" i="1"/>
  <c r="L94" i="1"/>
  <c r="L103" i="1"/>
  <c r="L19" i="1"/>
  <c r="L5" i="1"/>
  <c r="L13" i="1"/>
  <c r="B153" i="22" l="1"/>
  <c r="B160" i="22" s="1"/>
  <c r="B164" i="22" s="1"/>
  <c r="D153" i="22"/>
  <c r="D160" i="22" s="1"/>
  <c r="D164" i="22" s="1"/>
  <c r="C153" i="22"/>
  <c r="C160" i="22" s="1"/>
  <c r="C164" i="22" s="1"/>
  <c r="C102" i="1"/>
  <c r="C96" i="1"/>
  <c r="C95" i="1"/>
  <c r="C94" i="1"/>
  <c r="C93" i="1"/>
  <c r="C91" i="1"/>
  <c r="C89" i="1"/>
  <c r="C85" i="1"/>
  <c r="D85" i="1"/>
  <c r="E85" i="1"/>
  <c r="C86" i="1"/>
  <c r="C84" i="1"/>
  <c r="D84" i="1"/>
  <c r="E84" i="1"/>
  <c r="C21" i="1" l="1"/>
  <c r="C20" i="1"/>
  <c r="C56" i="1" l="1"/>
  <c r="C55" i="1"/>
  <c r="C54" i="1"/>
  <c r="C50" i="1"/>
  <c r="C53" i="1" l="1"/>
  <c r="C47" i="1"/>
  <c r="C28" i="1"/>
  <c r="H1" i="22"/>
  <c r="G1" i="22"/>
  <c r="I1" i="22"/>
  <c r="G74" i="22"/>
  <c r="C27" i="1" s="1"/>
  <c r="C22" i="1"/>
  <c r="C23" i="1"/>
  <c r="C117" i="1" s="1"/>
  <c r="G22" i="22"/>
  <c r="G3" i="22" l="1"/>
  <c r="C16" i="22"/>
  <c r="B16" i="22"/>
  <c r="D16" i="22"/>
  <c r="C67" i="1"/>
  <c r="C66" i="1"/>
  <c r="C65" i="1"/>
  <c r="C12" i="1"/>
  <c r="C11" i="1"/>
  <c r="C10" i="1"/>
  <c r="D10" i="1"/>
  <c r="C9" i="1"/>
  <c r="D9" i="1"/>
  <c r="E9" i="1"/>
  <c r="C7" i="1"/>
  <c r="C6" i="1"/>
  <c r="C17" i="1"/>
  <c r="C16" i="1"/>
  <c r="C15" i="1"/>
  <c r="C14" i="1"/>
  <c r="C41" i="1"/>
  <c r="C40" i="1"/>
  <c r="C39" i="1"/>
  <c r="C38" i="1"/>
  <c r="C37" i="1"/>
  <c r="C35" i="1"/>
  <c r="C34" i="1"/>
  <c r="C33" i="1"/>
  <c r="C32" i="1"/>
  <c r="C31" i="1"/>
  <c r="D31" i="1"/>
  <c r="D32" i="1"/>
  <c r="D33" i="1"/>
  <c r="D34" i="1"/>
  <c r="D35" i="1"/>
  <c r="D37" i="1"/>
  <c r="D38" i="1"/>
  <c r="D39" i="1"/>
  <c r="D40" i="1"/>
  <c r="D41" i="1"/>
  <c r="B8" i="22"/>
  <c r="B3" i="22"/>
  <c r="C44" i="1" s="1"/>
  <c r="C8" i="22"/>
  <c r="C3" i="22"/>
  <c r="D44" i="1" s="1"/>
  <c r="C2" i="1"/>
  <c r="C4" i="11" s="1"/>
  <c r="I4" i="11" s="1"/>
  <c r="D2" i="1"/>
  <c r="E2" i="1"/>
  <c r="C99" i="1"/>
  <c r="C90" i="1"/>
  <c r="C18" i="1"/>
  <c r="C116" i="1" l="1"/>
  <c r="C100" i="1"/>
  <c r="D2" i="18"/>
  <c r="D4" i="11"/>
  <c r="J4" i="11" s="1"/>
  <c r="E2" i="18"/>
  <c r="E4" i="11"/>
  <c r="K4" i="11" s="1"/>
  <c r="C87" i="1"/>
  <c r="G78" i="22"/>
  <c r="C13" i="1"/>
  <c r="C11" i="11" s="1"/>
  <c r="C64" i="1"/>
  <c r="C30" i="1"/>
  <c r="D42" i="1"/>
  <c r="C36" i="1"/>
  <c r="D36" i="1"/>
  <c r="D30" i="1"/>
  <c r="E33" i="1"/>
  <c r="E35" i="1"/>
  <c r="C98" i="1" l="1"/>
  <c r="D46" i="1"/>
  <c r="C5" i="11" l="1"/>
  <c r="D96" i="1"/>
  <c r="E96" i="1"/>
  <c r="D95" i="1" l="1"/>
  <c r="E95" i="1"/>
  <c r="D93" i="1" l="1"/>
  <c r="E93" i="1"/>
  <c r="D16" i="1"/>
  <c r="E16" i="1"/>
  <c r="H22" i="22"/>
  <c r="I22" i="22"/>
  <c r="E87" i="1" l="1"/>
  <c r="D87" i="1"/>
  <c r="H3" i="22"/>
  <c r="E5" i="11"/>
  <c r="D5" i="11"/>
  <c r="C5" i="1" l="1"/>
  <c r="C19" i="1"/>
  <c r="C49" i="1"/>
  <c r="C68" i="1"/>
  <c r="C72" i="1"/>
  <c r="C12" i="11" s="1"/>
  <c r="C88" i="1"/>
  <c r="C92" i="1" s="1"/>
  <c r="C16" i="11"/>
  <c r="C118" i="1"/>
  <c r="C63" i="1" l="1"/>
  <c r="C15" i="11" s="1"/>
  <c r="C109" i="1"/>
  <c r="I7" i="11" s="1"/>
  <c r="C97" i="1"/>
  <c r="C6" i="11"/>
  <c r="C29" i="1"/>
  <c r="C79" i="1"/>
  <c r="C111" i="1" l="1"/>
  <c r="I8" i="11" s="1"/>
  <c r="C101" i="1"/>
  <c r="C103" i="1" s="1"/>
  <c r="C104" i="1" s="1"/>
  <c r="C112" i="1"/>
  <c r="C106" i="1"/>
  <c r="I5" i="11" s="1"/>
  <c r="C80" i="1"/>
  <c r="C8" i="11" l="1"/>
  <c r="C114" i="1"/>
  <c r="I10" i="11" s="1"/>
  <c r="E21" i="1"/>
  <c r="D21" i="1"/>
  <c r="E20" i="1"/>
  <c r="D20" i="1"/>
  <c r="E15" i="1" l="1"/>
  <c r="D15" i="1"/>
  <c r="E14" i="1"/>
  <c r="D14" i="1"/>
  <c r="E17" i="1"/>
  <c r="D17" i="1"/>
  <c r="E94" i="1" l="1"/>
  <c r="D94" i="1"/>
  <c r="E91" i="1"/>
  <c r="D91" i="1"/>
  <c r="E89" i="1"/>
  <c r="D89" i="1"/>
  <c r="E86" i="1"/>
  <c r="D86" i="1"/>
  <c r="D67" i="1"/>
  <c r="D66" i="1"/>
  <c r="E67" i="1"/>
  <c r="E66" i="1"/>
  <c r="D65" i="1"/>
  <c r="E65" i="1"/>
  <c r="F14" i="11" l="1"/>
  <c r="E5" i="18"/>
  <c r="K94" i="1"/>
  <c r="D5" i="18"/>
  <c r="E26" i="18"/>
  <c r="D26" i="18"/>
  <c r="D50" i="1"/>
  <c r="E50" i="1"/>
  <c r="D12" i="1"/>
  <c r="E12" i="1"/>
  <c r="D11" i="1"/>
  <c r="E11" i="1"/>
  <c r="E10" i="1"/>
  <c r="D7" i="1"/>
  <c r="E7" i="1"/>
  <c r="D6" i="1"/>
  <c r="E6" i="1"/>
  <c r="D47" i="1"/>
  <c r="E47" i="1"/>
  <c r="E41" i="1"/>
  <c r="E40" i="1"/>
  <c r="E39" i="1"/>
  <c r="E38" i="1"/>
  <c r="E37" i="1"/>
  <c r="E34" i="1"/>
  <c r="E32" i="1"/>
  <c r="E31" i="1"/>
  <c r="D116" i="1" l="1"/>
  <c r="E116" i="1"/>
  <c r="H74" i="22"/>
  <c r="D27" i="1" s="1"/>
  <c r="I74" i="22"/>
  <c r="E27" i="1" s="1"/>
  <c r="D22" i="1"/>
  <c r="E22" i="1"/>
  <c r="D23" i="1"/>
  <c r="D117" i="1" s="1"/>
  <c r="E23" i="1"/>
  <c r="E117" i="1" s="1"/>
  <c r="F13" i="11" l="1"/>
  <c r="E22" i="18"/>
  <c r="D22" i="18"/>
  <c r="D102" i="1"/>
  <c r="D28" i="1"/>
  <c r="D6" i="18" s="1"/>
  <c r="E102" i="1"/>
  <c r="E28" i="1"/>
  <c r="D3" i="22"/>
  <c r="E44" i="1" s="1"/>
  <c r="D100" i="1"/>
  <c r="D99" i="1"/>
  <c r="E99" i="1"/>
  <c r="D18" i="1"/>
  <c r="E18" i="1"/>
  <c r="D8" i="22"/>
  <c r="E100" i="1" l="1"/>
  <c r="D98" i="1"/>
  <c r="D90" i="1"/>
  <c r="E90" i="1"/>
  <c r="D9" i="18"/>
  <c r="E6" i="18"/>
  <c r="E9" i="18"/>
  <c r="E98" i="1"/>
  <c r="H78" i="22" l="1"/>
  <c r="D16" i="11"/>
  <c r="E16" i="11"/>
  <c r="I3" i="22"/>
  <c r="I78" i="22" s="1"/>
  <c r="F16" i="11" l="1"/>
  <c r="H102" i="1" l="1"/>
  <c r="H98" i="1"/>
  <c r="H93" i="1"/>
  <c r="H89" i="1"/>
  <c r="H85" i="1"/>
  <c r="H84" i="1"/>
  <c r="H73" i="1"/>
  <c r="H69" i="1"/>
  <c r="G65" i="1"/>
  <c r="H50" i="1" l="1"/>
  <c r="H65" i="1"/>
  <c r="G69" i="1"/>
  <c r="G73" i="1"/>
  <c r="G84" i="1"/>
  <c r="G85" i="1"/>
  <c r="G89" i="1"/>
  <c r="G98" i="1"/>
  <c r="G50" i="1"/>
  <c r="G93" i="1"/>
  <c r="G102" i="1"/>
  <c r="E88" i="1"/>
  <c r="E72" i="1"/>
  <c r="E12" i="11" s="1"/>
  <c r="E68" i="1"/>
  <c r="E49" i="1"/>
  <c r="E42" i="1"/>
  <c r="E36" i="1"/>
  <c r="E30" i="1"/>
  <c r="E19" i="1"/>
  <c r="E5" i="1"/>
  <c r="E92" i="1" l="1"/>
  <c r="E97" i="1" s="1"/>
  <c r="E101" i="1" s="1"/>
  <c r="E46" i="1"/>
  <c r="E13" i="1"/>
  <c r="E11" i="11" s="1"/>
  <c r="E64" i="1"/>
  <c r="E10" i="11" l="1"/>
  <c r="E112" i="1"/>
  <c r="E6" i="11"/>
  <c r="E118" i="1"/>
  <c r="E109" i="1"/>
  <c r="K7" i="11" s="1"/>
  <c r="E79" i="1"/>
  <c r="E29" i="1"/>
  <c r="E111" i="1" l="1"/>
  <c r="K8" i="11" s="1"/>
  <c r="E48" i="1"/>
  <c r="E113" i="1" s="1"/>
  <c r="K9" i="11" s="1"/>
  <c r="E103" i="1" l="1"/>
  <c r="K103" i="1" l="1"/>
  <c r="E104" i="1"/>
  <c r="E8" i="11"/>
  <c r="E4" i="18"/>
  <c r="E7" i="18" s="1"/>
  <c r="E9" i="11" s="1"/>
  <c r="E63" i="1" l="1"/>
  <c r="E15" i="11" l="1"/>
  <c r="E106" i="1"/>
  <c r="K5" i="11" s="1"/>
  <c r="E108" i="1"/>
  <c r="K6" i="11" s="1"/>
  <c r="E107" i="1"/>
  <c r="E114" i="1"/>
  <c r="K10" i="11" s="1"/>
  <c r="H66" i="1"/>
  <c r="G66" i="1"/>
  <c r="H70" i="1"/>
  <c r="G70" i="1"/>
  <c r="H76" i="1"/>
  <c r="G76" i="1"/>
  <c r="H74" i="1"/>
  <c r="G74" i="1"/>
  <c r="E80" i="1"/>
  <c r="H67" i="1"/>
  <c r="G67" i="1"/>
  <c r="H71" i="1"/>
  <c r="G71" i="1"/>
  <c r="H78" i="1"/>
  <c r="G78" i="1"/>
  <c r="H77" i="1"/>
  <c r="G77" i="1"/>
  <c r="H75" i="1"/>
  <c r="G75" i="1"/>
  <c r="K74" i="1" l="1"/>
  <c r="K73" i="1"/>
  <c r="E81" i="1"/>
  <c r="H47" i="1"/>
  <c r="G47" i="1"/>
  <c r="H31" i="1" l="1"/>
  <c r="G31" i="1"/>
  <c r="H34" i="1"/>
  <c r="G34" i="1"/>
  <c r="H32" i="1"/>
  <c r="G32" i="1"/>
  <c r="H37" i="1"/>
  <c r="G37" i="1"/>
  <c r="H39" i="1"/>
  <c r="G39" i="1"/>
  <c r="H43" i="1"/>
  <c r="G43" i="1"/>
  <c r="H44" i="1"/>
  <c r="G44" i="1"/>
  <c r="H11" i="1"/>
  <c r="G11" i="1"/>
  <c r="H10" i="1"/>
  <c r="G10" i="1"/>
  <c r="H7" i="1"/>
  <c r="G7" i="1"/>
  <c r="H14" i="1"/>
  <c r="G14" i="1"/>
  <c r="H17" i="1"/>
  <c r="G17" i="1"/>
  <c r="H15" i="1"/>
  <c r="G15" i="1"/>
  <c r="H18" i="1"/>
  <c r="G18" i="1"/>
  <c r="H52" i="1"/>
  <c r="G52" i="1"/>
  <c r="H54" i="1"/>
  <c r="G54" i="1"/>
  <c r="H56" i="1"/>
  <c r="G56" i="1"/>
  <c r="H61" i="1"/>
  <c r="G61" i="1"/>
  <c r="H20" i="1"/>
  <c r="G20" i="1"/>
  <c r="H25" i="1"/>
  <c r="G25" i="1"/>
  <c r="H23" i="1"/>
  <c r="G23" i="1"/>
  <c r="H21" i="1"/>
  <c r="G21" i="1"/>
  <c r="H27" i="1"/>
  <c r="G27" i="1"/>
  <c r="H87" i="1"/>
  <c r="G87" i="1"/>
  <c r="H90" i="1"/>
  <c r="G90" i="1"/>
  <c r="H96" i="1"/>
  <c r="G96" i="1"/>
  <c r="H94" i="1"/>
  <c r="G94" i="1"/>
  <c r="H100" i="1"/>
  <c r="G100" i="1"/>
  <c r="H35" i="1"/>
  <c r="G35" i="1"/>
  <c r="H33" i="1"/>
  <c r="G33" i="1"/>
  <c r="H41" i="1"/>
  <c r="G41" i="1"/>
  <c r="H40" i="1"/>
  <c r="G40" i="1"/>
  <c r="H38" i="1"/>
  <c r="G38" i="1"/>
  <c r="H45" i="1"/>
  <c r="G45" i="1"/>
  <c r="H6" i="1"/>
  <c r="G6" i="1"/>
  <c r="H12" i="1"/>
  <c r="G12" i="1"/>
  <c r="H9" i="1"/>
  <c r="G9" i="1"/>
  <c r="H8" i="1"/>
  <c r="G8" i="1"/>
  <c r="H16" i="1"/>
  <c r="G16" i="1"/>
  <c r="H51" i="1"/>
  <c r="G51" i="1"/>
  <c r="H57" i="1"/>
  <c r="G57" i="1"/>
  <c r="H55" i="1"/>
  <c r="G55" i="1"/>
  <c r="H60" i="1"/>
  <c r="G60" i="1"/>
  <c r="H26" i="1"/>
  <c r="G26" i="1"/>
  <c r="H24" i="1"/>
  <c r="G24" i="1"/>
  <c r="H22" i="1"/>
  <c r="G22" i="1"/>
  <c r="H28" i="1"/>
  <c r="G28" i="1"/>
  <c r="K28" i="1" s="1"/>
  <c r="H86" i="1"/>
  <c r="G86" i="1"/>
  <c r="H91" i="1"/>
  <c r="G91" i="1"/>
  <c r="H95" i="1"/>
  <c r="G95" i="1"/>
  <c r="H99" i="1"/>
  <c r="G99" i="1"/>
  <c r="G116" i="1"/>
  <c r="D5" i="1"/>
  <c r="D64" i="1"/>
  <c r="D72" i="1"/>
  <c r="D12" i="11" s="1"/>
  <c r="G117" i="1"/>
  <c r="D19" i="1"/>
  <c r="E11" i="18" s="1"/>
  <c r="D13" i="1"/>
  <c r="D11" i="11" s="1"/>
  <c r="F11" i="11" s="1"/>
  <c r="D68" i="1"/>
  <c r="D88" i="1"/>
  <c r="D49" i="1"/>
  <c r="D10" i="11" l="1"/>
  <c r="F12" i="11"/>
  <c r="D79" i="1"/>
  <c r="D15" i="18"/>
  <c r="E15" i="18"/>
  <c r="D118" i="1"/>
  <c r="G118" i="1" s="1"/>
  <c r="D109" i="1"/>
  <c r="J7" i="11" s="1"/>
  <c r="E10" i="18"/>
  <c r="E12" i="18" s="1"/>
  <c r="E14" i="18"/>
  <c r="D23" i="18"/>
  <c r="D24" i="18" s="1"/>
  <c r="D30" i="18" s="1"/>
  <c r="E23" i="18"/>
  <c r="E24" i="18" s="1"/>
  <c r="E30" i="18" s="1"/>
  <c r="D11" i="18"/>
  <c r="D10" i="18"/>
  <c r="H49" i="1"/>
  <c r="G49" i="1"/>
  <c r="D92" i="1"/>
  <c r="D97" i="1" s="1"/>
  <c r="D101" i="1" s="1"/>
  <c r="H88" i="1"/>
  <c r="G88" i="1"/>
  <c r="H53" i="1"/>
  <c r="G53" i="1"/>
  <c r="H68" i="1"/>
  <c r="G68" i="1"/>
  <c r="H72" i="1"/>
  <c r="G72" i="1"/>
  <c r="H64" i="1"/>
  <c r="G64" i="1"/>
  <c r="H36" i="1"/>
  <c r="G36" i="1"/>
  <c r="H13" i="1"/>
  <c r="G13" i="1"/>
  <c r="K13" i="1" s="1"/>
  <c r="H42" i="1"/>
  <c r="G42" i="1"/>
  <c r="H30" i="1"/>
  <c r="G30" i="1"/>
  <c r="H19" i="1"/>
  <c r="G19" i="1"/>
  <c r="K19" i="1" s="1"/>
  <c r="H5" i="1"/>
  <c r="G5" i="1"/>
  <c r="K5" i="1" s="1"/>
  <c r="F5" i="11"/>
  <c r="D29" i="1"/>
  <c r="D48" i="1" s="1"/>
  <c r="K64" i="1" l="1"/>
  <c r="D6" i="11"/>
  <c r="F6" i="11" s="1"/>
  <c r="D12" i="18"/>
  <c r="H46" i="1"/>
  <c r="G46" i="1"/>
  <c r="K46" i="1" s="1"/>
  <c r="H29" i="1"/>
  <c r="G29" i="1"/>
  <c r="H79" i="1"/>
  <c r="G79" i="1"/>
  <c r="H92" i="1"/>
  <c r="G92" i="1"/>
  <c r="D111" i="1" l="1"/>
  <c r="J8" i="11" s="1"/>
  <c r="D112" i="1"/>
  <c r="D113" i="1"/>
  <c r="J9" i="11" s="1"/>
  <c r="G97" i="1"/>
  <c r="H97" i="1"/>
  <c r="H48" i="1"/>
  <c r="G48" i="1"/>
  <c r="F10" i="11"/>
  <c r="D103" i="1" l="1"/>
  <c r="D104" i="1" s="1"/>
  <c r="H101" i="1"/>
  <c r="G101" i="1"/>
  <c r="D8" i="11" l="1"/>
  <c r="D4" i="18"/>
  <c r="D7" i="18" s="1"/>
  <c r="E16" i="18"/>
  <c r="E18" i="18" s="1"/>
  <c r="E20" i="18" s="1"/>
  <c r="E32" i="18" s="1"/>
  <c r="H62" i="1"/>
  <c r="G62" i="1"/>
  <c r="H103" i="1"/>
  <c r="G103" i="1"/>
  <c r="D63" i="1"/>
  <c r="D15" i="11" l="1"/>
  <c r="F15" i="11" s="1"/>
  <c r="D80" i="1"/>
  <c r="D81" i="1" s="1"/>
  <c r="D9" i="11"/>
  <c r="F9" i="11" s="1"/>
  <c r="D108" i="1"/>
  <c r="J6" i="11" s="1"/>
  <c r="D107" i="1"/>
  <c r="D106" i="1"/>
  <c r="J5" i="11" s="1"/>
  <c r="D114" i="1"/>
  <c r="J10" i="11" s="1"/>
  <c r="H63" i="1"/>
  <c r="G63" i="1"/>
  <c r="J63" i="1"/>
  <c r="K63" i="1" s="1"/>
  <c r="H80" i="1" l="1"/>
  <c r="G80" i="1"/>
  <c r="F8" i="11"/>
  <c r="D7" i="22"/>
  <c r="C7" i="22"/>
  <c r="C84" i="22" l="1"/>
  <c r="H80" i="22" s="1"/>
  <c r="D84" i="22"/>
  <c r="I80" i="22" s="1"/>
  <c r="C42" i="1"/>
  <c r="C46" i="1" l="1"/>
  <c r="C10" i="11" s="1"/>
  <c r="C108" i="1"/>
  <c r="I6" i="11" s="1"/>
  <c r="D14" i="18"/>
  <c r="D16" i="18" s="1"/>
  <c r="D18" i="18" s="1"/>
  <c r="D20" i="18" s="1"/>
  <c r="D32" i="18" s="1"/>
  <c r="B7" i="22"/>
  <c r="B84" i="22" s="1"/>
  <c r="G80" i="22" s="1"/>
  <c r="C107" i="1" l="1"/>
  <c r="C48" i="1"/>
  <c r="C113" i="1" l="1"/>
  <c r="I9" i="11" s="1"/>
  <c r="C81" i="1"/>
</calcChain>
</file>

<file path=xl/sharedStrings.xml><?xml version="1.0" encoding="utf-8"?>
<sst xmlns="http://schemas.openxmlformats.org/spreadsheetml/2006/main" count="430" uniqueCount="389">
  <si>
    <t>R.O.E.</t>
  </si>
  <si>
    <t>R.O.I.</t>
  </si>
  <si>
    <t>Profit Stability</t>
  </si>
  <si>
    <t>R.O.S.</t>
  </si>
  <si>
    <t>Current Ratio</t>
  </si>
  <si>
    <t>Equity Ratio</t>
  </si>
  <si>
    <t>Financial structure stability</t>
  </si>
  <si>
    <t>Debt Equity</t>
  </si>
  <si>
    <t>G) NET RESULT AFTER TAX</t>
  </si>
  <si>
    <t>Taxes</t>
  </si>
  <si>
    <t>F) PRE-TAX RESULT</t>
  </si>
  <si>
    <t>Other non operating income (and expenses)</t>
  </si>
  <si>
    <t>(Financial Cost)</t>
  </si>
  <si>
    <t>Financial Income</t>
  </si>
  <si>
    <t>D) OPERATING PROFIT</t>
  </si>
  <si>
    <t>Recoveries</t>
  </si>
  <si>
    <t>(Amortization)</t>
  </si>
  <si>
    <t>(Depreciation)</t>
  </si>
  <si>
    <t>Provisions</t>
  </si>
  <si>
    <t>C) PROFIT BEFORE DEPRECIATION</t>
  </si>
  <si>
    <t>(Rent)</t>
  </si>
  <si>
    <t>(Cost of Salaries and Wages)</t>
  </si>
  <si>
    <t>(General and Administrative Expenses)</t>
  </si>
  <si>
    <t>B) GROSS PROFIT</t>
  </si>
  <si>
    <t>Other operating income (and expenses)</t>
  </si>
  <si>
    <t>(Cost of purchased goods)</t>
  </si>
  <si>
    <t>Changes in inventories</t>
  </si>
  <si>
    <t>A) TURNOVER</t>
  </si>
  <si>
    <t>ê</t>
  </si>
  <si>
    <t>F) TOTAL NET LIABILITIES (D+E)</t>
  </si>
  <si>
    <t>E) NET FINANCIAL POSITION (18+19+20)</t>
  </si>
  <si>
    <t>D) NET WORTH (11+12+13+14+15+16)</t>
  </si>
  <si>
    <t>15) PROFIT (OR LOSS) PRESENT YEAR</t>
  </si>
  <si>
    <t>14) PROFIT (OR LOSS) PREVIOUS YEAR</t>
  </si>
  <si>
    <t>13) DIVIDEND PAYABLE</t>
  </si>
  <si>
    <t>12) RESERVES</t>
  </si>
  <si>
    <t>11) EQUITY CAPITAL</t>
  </si>
  <si>
    <t>C) NET INVESTED CAPITAL (A+B+10)</t>
  </si>
  <si>
    <t>10) (OTHER PROVISIONS - LONG TERM)</t>
  </si>
  <si>
    <t>B) TOTAL NET FIXED ASSETS (7+8+9)</t>
  </si>
  <si>
    <t>9) NET FINANCIAL FIXED ASSETS</t>
  </si>
  <si>
    <t>8) NET TANGIBLE FIXED ASSETS</t>
  </si>
  <si>
    <t>7) NET INTANGIBLE FIXED ASSETS</t>
  </si>
  <si>
    <t>A) NET WORKING CAPITAL (1+2+3+4+5+6)</t>
  </si>
  <si>
    <t>6) (OTHER PROVISIONS - SHORT TERM)</t>
  </si>
  <si>
    <t>5) (NEGATIVE PREPAYMENTS AND ACCRUALS)</t>
  </si>
  <si>
    <t>4) (COMMERCIAL PAYABLES)</t>
  </si>
  <si>
    <t>3) POSITIVE PREPAYMENTS AND ACCRUALS</t>
  </si>
  <si>
    <t>2) STOCK</t>
  </si>
  <si>
    <t>1) COMMERCIAL RECEIVABLES</t>
  </si>
  <si>
    <t>Trade receivables min 12 months</t>
  </si>
  <si>
    <t>Trade receivables &gt;12 months</t>
  </si>
  <si>
    <t>Receivables towards related companies</t>
  </si>
  <si>
    <t>Other receivables min 12 months</t>
  </si>
  <si>
    <t>Other receivables &gt;12 months</t>
  </si>
  <si>
    <t>VAT and TAX receivables -Current</t>
  </si>
  <si>
    <t>VAT and TAX receivables - Deferred</t>
  </si>
  <si>
    <t>Work in progress</t>
  </si>
  <si>
    <t>Payables towards related company</t>
  </si>
  <si>
    <t>Advances by customers</t>
  </si>
  <si>
    <t>Other debts</t>
  </si>
  <si>
    <t>VAT and Tax payables - Current</t>
  </si>
  <si>
    <t>VAT and TAX payables - Deferred</t>
  </si>
  <si>
    <t>Estabilishment costs</t>
  </si>
  <si>
    <t>Royalties</t>
  </si>
  <si>
    <t>Goodwill</t>
  </si>
  <si>
    <t>Other intangible assets (specify)</t>
  </si>
  <si>
    <t>Land and buildings - Freehold</t>
  </si>
  <si>
    <t>Machinery</t>
  </si>
  <si>
    <t>Equipments</t>
  </si>
  <si>
    <t>Advances for capital project</t>
  </si>
  <si>
    <t>Other tangible assets (specify)</t>
  </si>
  <si>
    <t>Shares</t>
  </si>
  <si>
    <t>Credits</t>
  </si>
  <si>
    <t>Other financial assets (specify)</t>
  </si>
  <si>
    <t>Official Equity - ordinary shares</t>
  </si>
  <si>
    <t>Subordinated loan</t>
  </si>
  <si>
    <t>Minority Interest</t>
  </si>
  <si>
    <t>Legal</t>
  </si>
  <si>
    <t>Revaluation</t>
  </si>
  <si>
    <t>Share premium</t>
  </si>
  <si>
    <t>Other reserves</t>
  </si>
  <si>
    <t>Bank</t>
  </si>
  <si>
    <t>Cheques</t>
  </si>
  <si>
    <t>Cash</t>
  </si>
  <si>
    <t>Towards banks short term</t>
  </si>
  <si>
    <t>Intercompany financial receivables</t>
  </si>
  <si>
    <t>Towards banks long term (mortages)</t>
  </si>
  <si>
    <t>Other financial institutions short term</t>
  </si>
  <si>
    <t>Other financial institutions long term</t>
  </si>
  <si>
    <t>Shareholders funding</t>
  </si>
  <si>
    <t>Intercompany financial payables</t>
  </si>
  <si>
    <t>check</t>
  </si>
  <si>
    <t>Trade Receivable Days</t>
  </si>
  <si>
    <t>Trade Payables days</t>
  </si>
  <si>
    <t>Stock days</t>
  </si>
  <si>
    <t>PROFIT &amp; LOSS</t>
  </si>
  <si>
    <t>BALANCE SHEET</t>
  </si>
  <si>
    <t>da 3 a 1</t>
  </si>
  <si>
    <t>da 10% a 50%</t>
  </si>
  <si>
    <t>da 10% a 20%</t>
  </si>
  <si>
    <t>da 0,7 a 2</t>
  </si>
  <si>
    <t>da 1 a 3</t>
  </si>
  <si>
    <t>da 20% a 50%</t>
  </si>
  <si>
    <t>da 5% a 30%</t>
  </si>
  <si>
    <t>da 5% a 15%</t>
  </si>
  <si>
    <t>20) (FINANCIAL PAYABLES)</t>
  </si>
  <si>
    <t>19) FINANCIAL RECEIVABLES</t>
  </si>
  <si>
    <t>18) LIQUIDITY</t>
  </si>
  <si>
    <t>EBITDA</t>
  </si>
  <si>
    <t>%</t>
  </si>
  <si>
    <t>valore</t>
  </si>
  <si>
    <t>€/000</t>
  </si>
  <si>
    <t>net result</t>
  </si>
  <si>
    <t>(increase)/decrease fixed assets</t>
  </si>
  <si>
    <t>(increase)/decrease stock</t>
  </si>
  <si>
    <t>working capital variation</t>
  </si>
  <si>
    <t>VARIATION FINANCIAL POSITION</t>
  </si>
  <si>
    <t>(increase)/decrease financial debts</t>
  </si>
  <si>
    <t>increase/(decrease) financial receivables (or cash)</t>
  </si>
  <si>
    <t>(increase)/decrease receivables</t>
  </si>
  <si>
    <t>increase/(decrease) payables</t>
  </si>
  <si>
    <t>provisions</t>
  </si>
  <si>
    <t>chk</t>
  </si>
  <si>
    <t>Company</t>
  </si>
  <si>
    <t>in loc. currency/000</t>
  </si>
  <si>
    <t>Total sales</t>
  </si>
  <si>
    <t>Net income/loss</t>
  </si>
  <si>
    <t>Total assets</t>
  </si>
  <si>
    <t>Inventory</t>
  </si>
  <si>
    <t>Financial Debt</t>
  </si>
  <si>
    <t>Net Worth</t>
  </si>
  <si>
    <t>MAIN RATIO</t>
  </si>
  <si>
    <t>D/E</t>
  </si>
  <si>
    <t xml:space="preserve">Equity Ratio </t>
  </si>
  <si>
    <t>ROS</t>
  </si>
  <si>
    <t>ROI</t>
  </si>
  <si>
    <t>ROE</t>
  </si>
  <si>
    <t xml:space="preserve">Current Ratio </t>
  </si>
  <si>
    <t>D</t>
  </si>
  <si>
    <t>Day receivables</t>
  </si>
  <si>
    <t>depreciation</t>
  </si>
  <si>
    <t>OPERATING CASH FLOW</t>
  </si>
  <si>
    <t>extra operating activities</t>
  </si>
  <si>
    <t>(a)</t>
  </si>
  <si>
    <t>EXTRA OPERATING CASH FLOW</t>
  </si>
  <si>
    <t>(b)</t>
  </si>
  <si>
    <t>(a+b)</t>
  </si>
  <si>
    <t>short-term debts variation</t>
  </si>
  <si>
    <t>(d)</t>
  </si>
  <si>
    <t>(increase)/decrease medium/long-term debts</t>
  </si>
  <si>
    <t>(e)</t>
  </si>
  <si>
    <t>(d+e)</t>
  </si>
  <si>
    <t>(INCREASE)/DECREASE IN FINANCIAL NEEDS</t>
  </si>
  <si>
    <t>increase/(decrease) equity or reserve</t>
  </si>
  <si>
    <t>o/w short  term debt</t>
  </si>
  <si>
    <t>o/w m/l term debt</t>
  </si>
  <si>
    <t>of which new loans</t>
  </si>
  <si>
    <t>of which installments paid</t>
  </si>
  <si>
    <t>risultato netto</t>
  </si>
  <si>
    <t>incremento (con segno negativo) o decremento (con segno positivo) di crediti commerciali</t>
  </si>
  <si>
    <t>incremento (con segno negativo) o decremento (con segno positivo) di magazzino</t>
  </si>
  <si>
    <t>variazione di capitale circolante</t>
  </si>
  <si>
    <t>versamenti (con segno positivo) o prelievi (con segno negativo) di capitale sociale o di riserve in patrimonio netto</t>
  </si>
  <si>
    <t>flusso di cassa dalle attività extra-operative</t>
  </si>
  <si>
    <t>totale flusso di cassa dalle attività extra-operative</t>
  </si>
  <si>
    <t>totale flusso di cassa dalle attività operative</t>
  </si>
  <si>
    <t>incremento (con segno negativo) o decremento (con segno positivo) di debiti finanziari a breve termine</t>
  </si>
  <si>
    <t>incremento (con segno positivo) o decremento (con segno negativo) di crediti finanziari o liquidità (cassa)</t>
  </si>
  <si>
    <t>variazione dell'indebitamento a breve</t>
  </si>
  <si>
    <t>variazione dell'indebitamento a medio/lungo</t>
  </si>
  <si>
    <t>variazione della posizione finanziaria</t>
  </si>
  <si>
    <t>incremento (con segno negativo) o decremento (con segno positivo) di investimenti al netto della quota di ammortamento</t>
  </si>
  <si>
    <t>incremento (con segno negativo) o decremento (con segno positivo) del fabbisogno finanziario</t>
  </si>
  <si>
    <t>a dedurre incrementi (o rilasci se con segno negativo) di fondi rischi e di fondi svalutazione crediti o trattamento di fine rapporto</t>
  </si>
  <si>
    <t>operating cash flow</t>
  </si>
  <si>
    <t>extra operating cash flow</t>
  </si>
  <si>
    <t>incremento (con segno positivo) o decremento (con segno negativo) di debiti commerciali</t>
  </si>
  <si>
    <t>dedotte le quote di ammortamento</t>
  </si>
  <si>
    <t>deducted the depreciation charges</t>
  </si>
  <si>
    <t>deducing increase (or decrease in case of negative sign) of risks provisions, bad debts provisions or severance pay (long-term provisions)</t>
  </si>
  <si>
    <t>increase (in case of negative sign) or decrease (in case of positive sign) in trade receivables</t>
  </si>
  <si>
    <t>increase (in case of negative sign) or decrease (in case of positive sign) in stock</t>
  </si>
  <si>
    <t>increase (in case of positive sign) or decrease (in case of negative sign) in trade payables</t>
  </si>
  <si>
    <t>increase (in case of negative sign) or decrease (in case of positive sign) in fixed assets, net of depreciation charge</t>
  </si>
  <si>
    <t>cash-in (in case of positive sign) or cash-out (in case of negative sign) of share capital or reserves in the shareholders' equity</t>
  </si>
  <si>
    <t>increase (in case of negative sign) or decrease (in case of positive sign) in financial needs</t>
  </si>
  <si>
    <t>increase (in case of negative sign) or decrease (in case of positive sign) of short term financial debts</t>
  </si>
  <si>
    <t>increase (in case of positive sign) or decrease (in case of negative sign) of financial receivables or cash</t>
  </si>
  <si>
    <t>increase (in case of negative sign) or decrease (in case of positive sign) of short-term debts</t>
  </si>
  <si>
    <t>increase (in case of negative sign) or decrease (in case of positive sign) of medium long-term debts</t>
  </si>
  <si>
    <t xml:space="preserve">financial position's variation </t>
  </si>
  <si>
    <t>ATTIVO</t>
  </si>
  <si>
    <t>A) CREDITI VERSO SOCI PER VERSAMENTI</t>
  </si>
  <si>
    <t xml:space="preserve">  I - IMMOBILIZZAZIONI IMMATERIALI</t>
  </si>
  <si>
    <t xml:space="preserve">     1) Costi d'impianto e di ampliamento</t>
  </si>
  <si>
    <t xml:space="preserve">     3) Diritto di brevetto industriale e di utilizzo delle opere d'ingegno</t>
  </si>
  <si>
    <t xml:space="preserve">     4) Concessioni, licenze, marchi e diritti simili</t>
  </si>
  <si>
    <t xml:space="preserve">     5) Avviamento</t>
  </si>
  <si>
    <t xml:space="preserve">     6) Immobilizzazioni in corso e acconti</t>
  </si>
  <si>
    <t xml:space="preserve">     7) Altre</t>
  </si>
  <si>
    <t xml:space="preserve">  II - IMMOBILIZZAZIONI MATERIALI</t>
  </si>
  <si>
    <t xml:space="preserve">     1) Terreni e fabbricati</t>
  </si>
  <si>
    <t xml:space="preserve">     2) Impianti e macchinari</t>
  </si>
  <si>
    <t xml:space="preserve">     3) Attrezzature industriali e commerciali</t>
  </si>
  <si>
    <t xml:space="preserve">     4) Altri beni</t>
  </si>
  <si>
    <t xml:space="preserve">     5) Immobilizzazioni in corso e acconti</t>
  </si>
  <si>
    <t xml:space="preserve">  III - IMMOBILIZZAZIONI FINANZIARIE</t>
  </si>
  <si>
    <t xml:space="preserve">     1) Partecipazioni </t>
  </si>
  <si>
    <t xml:space="preserve">        Importi esigibili oltre l'esercizio successivo</t>
  </si>
  <si>
    <t xml:space="preserve">     3) Altri titoli</t>
  </si>
  <si>
    <t>C) ATTIVO CIRCOLANTE</t>
  </si>
  <si>
    <t xml:space="preserve">  I - RIMANENZE</t>
  </si>
  <si>
    <t xml:space="preserve">     1) Materie prime, sussidiarie e di consumo</t>
  </si>
  <si>
    <t xml:space="preserve">     2) Prodotti in corso di lavorazione e semilavorati</t>
  </si>
  <si>
    <t xml:space="preserve">     3) Lavori in corso su ordinazione</t>
  </si>
  <si>
    <t xml:space="preserve">     4) Prodotti finiti e merci</t>
  </si>
  <si>
    <t xml:space="preserve">     5) Acconti</t>
  </si>
  <si>
    <t xml:space="preserve">  II - CREDITI</t>
  </si>
  <si>
    <t xml:space="preserve">        Importi esigibili entro l'esercizio successivo</t>
  </si>
  <si>
    <t xml:space="preserve">         Importi esigibili entro l'esercizio successivo</t>
  </si>
  <si>
    <t xml:space="preserve">         Importi esigibili oltre l'esercizio successivo</t>
  </si>
  <si>
    <t xml:space="preserve">  III - ATTIVITA' FINANZIARIE CHE NON COSTIT. IMMOBILIZZAZIONI</t>
  </si>
  <si>
    <t xml:space="preserve">     1) Partecipazioni in imprese controllate</t>
  </si>
  <si>
    <t xml:space="preserve">     2) Partecipazioni in imprese collegate</t>
  </si>
  <si>
    <t xml:space="preserve">     3) Partecipazioni in imprese controllanti</t>
  </si>
  <si>
    <t xml:space="preserve">     4) Altre partecipazioni</t>
  </si>
  <si>
    <t xml:space="preserve">     6) Altri titoli</t>
  </si>
  <si>
    <t xml:space="preserve">  IV - DISPONIBILITA' LIQUIDE</t>
  </si>
  <si>
    <t xml:space="preserve">     1) Depositi bancari e postali</t>
  </si>
  <si>
    <t xml:space="preserve">     2) Assegni</t>
  </si>
  <si>
    <t xml:space="preserve">     3) Denaro e valori in cassa</t>
  </si>
  <si>
    <t>TOTALE (A + B + C + D)</t>
  </si>
  <si>
    <t>PASSIVO</t>
  </si>
  <si>
    <t xml:space="preserve">    I - Capitale</t>
  </si>
  <si>
    <t xml:space="preserve">    II - Riserva di sovrapprezzo azioni</t>
  </si>
  <si>
    <t>B) FONDI PER RISCHI ED ONERI</t>
  </si>
  <si>
    <t xml:space="preserve">     1) Per trattamento di quiescenza ed obblighi simili</t>
  </si>
  <si>
    <t xml:space="preserve">     2) Per imposte, anche differite</t>
  </si>
  <si>
    <t>C) TRATTAMENTO DI FINE RAPPORTO</t>
  </si>
  <si>
    <t>D) DEBITI</t>
  </si>
  <si>
    <t xml:space="preserve">     3) Debiti verso soci per finanziamenti</t>
  </si>
  <si>
    <t xml:space="preserve">     5) Debiti verso altri finanziatori </t>
  </si>
  <si>
    <t xml:space="preserve">     6) Acconti </t>
  </si>
  <si>
    <t xml:space="preserve">     8) Debiti rappresentati da titoli di credito</t>
  </si>
  <si>
    <t xml:space="preserve">   14) Altri debiti</t>
  </si>
  <si>
    <t>E) RATEI E RISCONTI</t>
  </si>
  <si>
    <t>TOTALE (A + B + C + D + E)</t>
  </si>
  <si>
    <t>A) VALORE DELLA PRODUZIONE</t>
  </si>
  <si>
    <t xml:space="preserve">   1) Ricavi delle vendite e delle prestazioni</t>
  </si>
  <si>
    <t xml:space="preserve">   3) Variazioni dei lavori in corso su ordinazione</t>
  </si>
  <si>
    <t xml:space="preserve">   4) Incrementi di immobilizzazioni per lavori interni</t>
  </si>
  <si>
    <t>B) COSTI DELLA PRODUZIONE</t>
  </si>
  <si>
    <t xml:space="preserve">   6) Per materie prime,sussidiarie, di consumo e di merci</t>
  </si>
  <si>
    <t xml:space="preserve">   7) Per servizi</t>
  </si>
  <si>
    <t xml:space="preserve">   8) Per godimento beni di terzi</t>
  </si>
  <si>
    <t xml:space="preserve">        a) Salari e stipendi</t>
  </si>
  <si>
    <t xml:space="preserve">        b) Oneri sociali</t>
  </si>
  <si>
    <t xml:space="preserve">        c) Trattamento di fine rapporto</t>
  </si>
  <si>
    <t xml:space="preserve">        d) Trattamento di quiescenza e simili</t>
  </si>
  <si>
    <t xml:space="preserve">        e) Altri costi</t>
  </si>
  <si>
    <t xml:space="preserve">        a) Ammortamento delle immobilizzazioni immateriali</t>
  </si>
  <si>
    <t xml:space="preserve">        b) Ammortamento delle immobilizzazioni materiali</t>
  </si>
  <si>
    <t xml:space="preserve">        c) Altre svalutazioni delle immobilizzazioni</t>
  </si>
  <si>
    <t>12) Accantonamenti per rischi</t>
  </si>
  <si>
    <t>13) Altri accantonamenti</t>
  </si>
  <si>
    <t>14) Oneri diversi di gestione</t>
  </si>
  <si>
    <t>DIFFERENZA TRA VALORE E COSTI DELLA PRODUZIONE</t>
  </si>
  <si>
    <t>C) PROVENTI ED ONERI FINANZIARI</t>
  </si>
  <si>
    <t>16) Altri proventi finanziari</t>
  </si>
  <si>
    <t xml:space="preserve">      a) Da crediti iscritti nelle immobilizzazioni</t>
  </si>
  <si>
    <t xml:space="preserve">      d) Proventi diversi dai precedenti</t>
  </si>
  <si>
    <t>17) Interessi ed altri oneri finanziari</t>
  </si>
  <si>
    <t>17-bis) Utili e perdite su cambi</t>
  </si>
  <si>
    <t>D) RETTIFICHE DI VALORE DI ATTIVITA' FINANZIARIE</t>
  </si>
  <si>
    <t>18) Rivalutazioni (totale)</t>
  </si>
  <si>
    <t xml:space="preserve">       a) Di partecipazioni</t>
  </si>
  <si>
    <t>19) Svalutazioni (totale)</t>
  </si>
  <si>
    <t>RISULTATO PRIMA DELLE IMPOSTE</t>
  </si>
  <si>
    <t>CONTO ECONOMICO</t>
  </si>
  <si>
    <t xml:space="preserve">     2) Crediti</t>
  </si>
  <si>
    <t xml:space="preserve">     1) Verso clienti</t>
  </si>
  <si>
    <t xml:space="preserve">        Riserva straordinaria o facoltativa</t>
  </si>
  <si>
    <t xml:space="preserve">        Versamenti in conto futuro aumento di capitale</t>
  </si>
  <si>
    <t xml:space="preserve">        Versamenti a coperture perdite</t>
  </si>
  <si>
    <t xml:space="preserve">        Riserva avanzo di fusione</t>
  </si>
  <si>
    <t xml:space="preserve">        Riserva utili su cambi</t>
  </si>
  <si>
    <t xml:space="preserve">        Differenza da arrotondamento all'unità di euro</t>
  </si>
  <si>
    <t xml:space="preserve">        Varie altre riserve</t>
  </si>
  <si>
    <t xml:space="preserve">     4) Debiti verso banche</t>
  </si>
  <si>
    <t xml:space="preserve">     7) Debiti verso fornitori</t>
  </si>
  <si>
    <t xml:space="preserve">   12) Debiti tributari</t>
  </si>
  <si>
    <t xml:space="preserve">   13) Debiti verso Istituti di prev. e sicurezza sociale</t>
  </si>
  <si>
    <t>15) Proventi da partecipazioni</t>
  </si>
  <si>
    <t xml:space="preserve">   5) Altri ricavi e proventi</t>
  </si>
  <si>
    <t xml:space="preserve">   9) Per il personale</t>
  </si>
  <si>
    <t>10) Ammortamenti e svalutazioni</t>
  </si>
  <si>
    <t>Raw materials and consumables</t>
  </si>
  <si>
    <t>Contract work-in-progress</t>
  </si>
  <si>
    <t>Finished goods and goods for resale</t>
  </si>
  <si>
    <t>Suppliers, trade payables min 12 months</t>
  </si>
  <si>
    <t>Suppliers, trade payables &gt;12 months</t>
  </si>
  <si>
    <t>Towards banks short, medium long term</t>
  </si>
  <si>
    <t>Towards other short, medium long term</t>
  </si>
  <si>
    <t xml:space="preserve">     1) Ratei e risconti</t>
  </si>
  <si>
    <t xml:space="preserve">     2) Costi anticipati</t>
  </si>
  <si>
    <t xml:space="preserve">     3) Disaggio su prestiti</t>
  </si>
  <si>
    <t>B) IMMOBILIZZAZIONI</t>
  </si>
  <si>
    <t>D) RATEI E RISCONTI</t>
  </si>
  <si>
    <t xml:space="preserve">     1) Parte da richiamare</t>
  </si>
  <si>
    <t xml:space="preserve">     2) Parte richiamata</t>
  </si>
  <si>
    <t xml:space="preserve">     2-3-4) Verso imprese controllate/collegate/controllanti (commerciali)</t>
  </si>
  <si>
    <t xml:space="preserve">     2-3-4) Verso imprese controllate/collegate/controllanti (finanziari)</t>
  </si>
  <si>
    <t xml:space="preserve">    III - Riserva di rivalutazione</t>
  </si>
  <si>
    <t xml:space="preserve">    IV - Riserva legale</t>
  </si>
  <si>
    <t>A) PATRIMONIO NETTO CONSOLIDATO</t>
  </si>
  <si>
    <t xml:space="preserve">     I - Capitale e riserve di terzi</t>
  </si>
  <si>
    <t xml:space="preserve">     II - Utile (perdita) dell'esercizio di pertinenza di terzi</t>
  </si>
  <si>
    <t xml:space="preserve">     1) Per trattamento di fine rapporto</t>
  </si>
  <si>
    <t xml:space="preserve">     1-2) Obbligazioni (convertibili e non)</t>
  </si>
  <si>
    <t>1) PATRIMONIO NETTO</t>
  </si>
  <si>
    <t>2) PATRIMONIO NETTO DI TERZI</t>
  </si>
  <si>
    <t xml:space="preserve">     2) Aggio su prestiti</t>
  </si>
  <si>
    <t>11) Variazioni delle rimanenze di materie prime, sussidiarie di consumo e merci</t>
  </si>
  <si>
    <t xml:space="preserve">        d) Svalutazione dei crediti compresi nell'attivo circolante e delle disponibilità liquide</t>
  </si>
  <si>
    <t xml:space="preserve">      b) Da titoli iscritti nelle immobilizzazioni che non costituiscono partecipazioni</t>
  </si>
  <si>
    <t xml:space="preserve">      c) Da titoli iscritti nell'attivo circolante che non costituiscono partecipazioni</t>
  </si>
  <si>
    <t xml:space="preserve">       a) Relativi ad imprese controllate</t>
  </si>
  <si>
    <t xml:space="preserve">       b) Relativi ad imprese collegate</t>
  </si>
  <si>
    <t xml:space="preserve">        a) Verso imprese controllate</t>
  </si>
  <si>
    <t xml:space="preserve">        b) Verso imprese collegate</t>
  </si>
  <si>
    <t xml:space="preserve">        c) Verso imprese controllanti</t>
  </si>
  <si>
    <t xml:space="preserve">       b) Di immobilizzazioni finanziarie che non costituiscono immobilizzazioni</t>
  </si>
  <si>
    <t xml:space="preserve">       c) Di titoli iscritti nell'attivo circolante che non costituiscono immobilizzazioni</t>
  </si>
  <si>
    <t xml:space="preserve">        a) Imposte correnti</t>
  </si>
  <si>
    <t xml:space="preserve">        b) Imposte differite</t>
  </si>
  <si>
    <t xml:space="preserve">        c) Imposte anticipate</t>
  </si>
  <si>
    <t xml:space="preserve">        d) Proventi (oneri) da adesione al regime di consolidato fiscale/trasparenza fiscale</t>
  </si>
  <si>
    <t>UTILE (PERDITA) DELL'ESERCIZIO</t>
  </si>
  <si>
    <t xml:space="preserve">   2) Variazioni delle rimanenze di prodotti in corso di lavorazione, semilavorati e finiti</t>
  </si>
  <si>
    <t>NR DIPENDENTI</t>
  </si>
  <si>
    <t xml:space="preserve">Operating Cash Flow </t>
  </si>
  <si>
    <t>CASH FLOW (dettaglio)</t>
  </si>
  <si>
    <t xml:space="preserve">     2) Costi di sviluppo </t>
  </si>
  <si>
    <t xml:space="preserve">        a) imprese controllate</t>
  </si>
  <si>
    <t xml:space="preserve">        b) imprese collegate</t>
  </si>
  <si>
    <t xml:space="preserve">        c) imprese controllanti</t>
  </si>
  <si>
    <t xml:space="preserve">        d) imprese sottoposte al controllo delle controllanti</t>
  </si>
  <si>
    <t xml:space="preserve">        d-bis) altre imprese</t>
  </si>
  <si>
    <t xml:space="preserve">        a) verso imprese controllate</t>
  </si>
  <si>
    <t xml:space="preserve">        b) verso imprese collegate</t>
  </si>
  <si>
    <t xml:space="preserve">        c) verso controllanti</t>
  </si>
  <si>
    <t xml:space="preserve">        d) verso imprese sottoposte al controllo delle controllanti</t>
  </si>
  <si>
    <t xml:space="preserve">        d-bis) verso altri</t>
  </si>
  <si>
    <t xml:space="preserve">     4) Strumenti finanziari derivati</t>
  </si>
  <si>
    <t xml:space="preserve">     5) Verso imprese sottoposte al controllo delle controllanti</t>
  </si>
  <si>
    <t xml:space="preserve">     5-bis) Crediti tributari</t>
  </si>
  <si>
    <t xml:space="preserve">     5-ter) Imposte anticipate</t>
  </si>
  <si>
    <t xml:space="preserve">     5-quater) Verso altri</t>
  </si>
  <si>
    <t xml:space="preserve">     3-bis) Partecipazioni in imprese sottoposte al controllo delle controllanti</t>
  </si>
  <si>
    <t xml:space="preserve">     5) Strumenti finanziari derivati attivi</t>
  </si>
  <si>
    <t xml:space="preserve">    V - Riserva statutarie</t>
  </si>
  <si>
    <t xml:space="preserve">    VI - Altre riserve distintamente indicate</t>
  </si>
  <si>
    <t xml:space="preserve">    VII - Riserva per operazioni di copertura dei flussi finanziari attesi</t>
  </si>
  <si>
    <t xml:space="preserve">    VIII - Utile (perdite) portate a nuovo</t>
  </si>
  <si>
    <t xml:space="preserve">    IX - Utile (perdita) dell'esercizio </t>
  </si>
  <si>
    <t xml:space="preserve">    X - Riserva negativa per azioni proprie in portafoglio </t>
  </si>
  <si>
    <t xml:space="preserve">     4) Altri fondi</t>
  </si>
  <si>
    <t xml:space="preserve">     3) Per strumenti finanziari derivati passivi</t>
  </si>
  <si>
    <r>
      <t xml:space="preserve">     9-10-11- </t>
    </r>
    <r>
      <rPr>
        <sz val="10"/>
        <color rgb="FFFF0000"/>
        <rFont val="Calibri"/>
        <family val="2"/>
        <scheme val="minor"/>
      </rPr>
      <t>11-bis*</t>
    </r>
    <r>
      <rPr>
        <sz val="10"/>
        <rFont val="Calibri"/>
        <family val="2"/>
        <scheme val="minor"/>
      </rPr>
      <t>) Debiti verso imprese controllate/collegate/controllanti (commerciali)</t>
    </r>
  </si>
  <si>
    <t>11-bis*</t>
  </si>
  <si>
    <t>Debiti verso imprese sottoposte al controllo delle controllanti</t>
  </si>
  <si>
    <r>
      <t xml:space="preserve">     9-10-11-</t>
    </r>
    <r>
      <rPr>
        <sz val="10"/>
        <color rgb="FFFF0000"/>
        <rFont val="Calibri"/>
        <family val="2"/>
        <scheme val="minor"/>
      </rPr>
      <t>11-bis*</t>
    </r>
    <r>
      <rPr>
        <sz val="10"/>
        <rFont val="Calibri"/>
        <family val="2"/>
        <scheme val="minor"/>
      </rPr>
      <t>) Debiti verso imprese controllate/collegate/controllanti (finanziari)</t>
    </r>
  </si>
  <si>
    <t xml:space="preserve">       d) Relativi ad imprese sottoposte al controllo di queste ultime</t>
  </si>
  <si>
    <t xml:space="preserve">       c) Relativi ad imprese controllanti </t>
  </si>
  <si>
    <t xml:space="preserve">        d) Verso imprese sottoposte al controllo di quest'ultime</t>
  </si>
  <si>
    <t xml:space="preserve">        e) Altri interessi ed oneri finanziari</t>
  </si>
  <si>
    <t xml:space="preserve">      d) Di strumenti finanziari derivati </t>
  </si>
  <si>
    <t xml:space="preserve">      d) Di strumenti dfinanziari diversi</t>
  </si>
  <si>
    <t>20) Imposte sul reddito dell'esercizio, correnti, differite e anticipate</t>
  </si>
  <si>
    <t>21) Utile (perdita) dell'esercizio di pertinenza di terzi</t>
  </si>
  <si>
    <t>21)  Utile (perdita) dell'esercizio di pertinenza per il gruppo</t>
  </si>
  <si>
    <t>Hedging reserve for future expected cash flows</t>
  </si>
  <si>
    <t>Negative reserve for own shares</t>
  </si>
  <si>
    <t>Development costs</t>
  </si>
  <si>
    <r>
      <t xml:space="preserve"> </t>
    </r>
    <r>
      <rPr>
        <sz val="10"/>
        <color rgb="FFFF0000"/>
        <rFont val="Calibri"/>
        <family val="2"/>
        <scheme val="minor"/>
      </rPr>
      <t xml:space="preserve">    7) Altre</t>
    </r>
  </si>
  <si>
    <t xml:space="preserve">       e) in altre imprese</t>
  </si>
  <si>
    <t>Interest Expenses</t>
  </si>
  <si>
    <t>LINDE MATERIAL HANDLING VERONA S.P.A.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</si>
</sst>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  <numFmt numFmtId="165" formatCode="&quot;€&quot;\ #,##0;\-&quot;€&quot;\ #,##0"/>
    <numFmt numFmtId="166" formatCode="_-&quot;€&quot;\ * #,##0.00_-;\-&quot;€&quot;\ * #,##0.00_-;_-&quot;€&quot;\ * &quot;-&quot;??_-;_-@_-"/>
    <numFmt numFmtId="167" formatCode="#,##0_ ;[Red]\-#,##0\ "/>
    <numFmt numFmtId="168" formatCode="_-* #,##0\ _D_M_-;\-* #,##0\ _D_M_-;_-* &quot;-&quot;\ _D_M_-;_-@_-"/>
    <numFmt numFmtId="169" formatCode="_-* #,##0.00\ _D_M_-;\-* #,##0.00\ _D_M_-;_-* &quot;-&quot;??\ _D_M_-;_-@_-"/>
    <numFmt numFmtId="170" formatCode="_-* #,##0\ &quot;DM&quot;_-;\-* #,##0\ &quot;DM&quot;_-;_-* &quot;-&quot;\ &quot;DM&quot;_-;_-@_-"/>
    <numFmt numFmtId="171" formatCode="_-* #,##0.00\ &quot;DM&quot;_-;\-* #,##0.00\ &quot;DM&quot;_-;_-* &quot;-&quot;??\ &quot;DM&quot;_-;_-@_-"/>
    <numFmt numFmtId="172" formatCode="0.0%"/>
    <numFmt numFmtId="173" formatCode="\.\ \ @"/>
    <numFmt numFmtId="174" formatCode="0.0_)\%;\(0.0\)\%;0.0_)\%;@_)_%"/>
    <numFmt numFmtId="175" formatCode="#,##0.0_)_%;\(#,##0.0\)_%;0.0_)_%;@_)_%"/>
    <numFmt numFmtId="176" formatCode="#,##0.0_);\(#,##0.0\);#,##0.0_);@_)"/>
    <numFmt numFmtId="177" formatCode="&quot;£&quot;_(#,##0.00_);&quot;£&quot;\(#,##0.00\);&quot;£&quot;_(0.00_);@_)"/>
    <numFmt numFmtId="178" formatCode="#,##0.00_);\(#,##0.00\);0.00_);@_)"/>
    <numFmt numFmtId="179" formatCode="\€_(#,##0.00_);\€\(#,##0.00\);\€_(0.00_);@_)"/>
    <numFmt numFmtId="180" formatCode="\__(#,##0.00_);\_\(#,##0.00\);\__(0.00_);@_)"/>
    <numFmt numFmtId="181" formatCode="#,##0_)\x;\(#,##0\)\x;0_)\x;@_)_x"/>
    <numFmt numFmtId="182" formatCode="#,##0_)_x;\(#,##0\)_x;0_)_x;@_)_x"/>
    <numFmt numFmtId="183" formatCode="_-[$€-2]\ * #,##0.00_-;\-[$€-2]\ * #,##0.00_-;_-[$€-2]\ * &quot;-&quot;??_-"/>
    <numFmt numFmtId="184" formatCode="\ @"/>
    <numFmt numFmtId="185" formatCode="_ * #,##0.00_ ;_ * \-#,##0.00_ ;_ * &quot;-&quot;??_ ;_ @_ "/>
    <numFmt numFmtId="186" formatCode="&quot;$&quot;#,##0_);\(&quot;$&quot;#,##0.0\)"/>
    <numFmt numFmtId="187" formatCode="&quot;$&quot;#.##"/>
    <numFmt numFmtId="188" formatCode="&quot;$&quot;#,##0.000_);\(&quot;$&quot;#,##0.000\)"/>
    <numFmt numFmtId="189" formatCode="&quot;$&quot;#,##0.0000_);\(&quot;$&quot;#,##0.0000\)"/>
    <numFmt numFmtId="190" formatCode="_(* #,##0.0_);_(* \(#,##0.0\);_(* &quot;-&quot;_);_(@_)"/>
    <numFmt numFmtId="191" formatCode="0.0000%"/>
    <numFmt numFmtId="192" formatCode="#,##0.00\ &quot;F&quot;;\-#,##0.00\ &quot;F&quot;"/>
    <numFmt numFmtId="193" formatCode="&quot;€&quot;#,##0_);\(&quot;€&quot;#,##0\)"/>
    <numFmt numFmtId="194" formatCode="#,##0\ &quot;F&quot;;[Red]\-#,##0\ &quot;F&quot;"/>
    <numFmt numFmtId="195" formatCode="#,##0.0_-;\-#,##0.0_-;#_,#_-"/>
    <numFmt numFmtId="196" formatCode="#,##0.00_-;[Red]\-#,##0.00_-;#_,##_-"/>
    <numFmt numFmtId="197" formatCode="_(* #,##0.00_);_(* \(#,##0.00\);_(* &quot;-&quot;_);_(@_)"/>
    <numFmt numFmtId="198" formatCode="_(* #,##0.000_);_(* \(#,##0.000\);_(* &quot;-&quot;_);_(@_)"/>
    <numFmt numFmtId="199" formatCode="&quot;See Note &quot;\ #"/>
    <numFmt numFmtId="200" formatCode="_(* #,##0.0_)_-;_(* \(#,##0.0\)_-;_(* &quot;-&quot;??_)_-;_(@_)_-"/>
    <numFmt numFmtId="201" formatCode="#,##0\ &quot;SFr.&quot;;[Red]\-#,##0\ &quot;SFr.&quot;"/>
    <numFmt numFmtId="202" formatCode="#,##0.00\ &quot;SFr.&quot;;[Red]\-#,##0.00\ &quot;SFr.&quot;"/>
    <numFmt numFmtId="203" formatCode="#,##0_);\(#,##0\)"/>
    <numFmt numFmtId="204" formatCode="#,##0.0_);\(#,##0.0\)"/>
    <numFmt numFmtId="205" formatCode="0.0%_);\(0.0%\)"/>
    <numFmt numFmtId="206" formatCode="_(* #,##0_);_(* \(#,##0\);_(* &quot;-&quot;_);_(@_)"/>
    <numFmt numFmtId="207" formatCode="_-&quot;L.&quot;\ * #,##0_-;\-&quot;L.&quot;\ * #,##0_-;_-&quot;L.&quot;\ * &quot;-&quot;_-;_-@_-"/>
    <numFmt numFmtId="208" formatCode="_-&quot;L.&quot;\ * #,##0.00_-;\-&quot;L.&quot;\ * #,##0.00_-;_-&quot;L.&quot;\ * &quot;-&quot;??_-;_-@_-"/>
    <numFmt numFmtId="209" formatCode="_(&quot;$&quot;* #,##0_);_(&quot;$&quot;* \(#,##0\);_(&quot;$&quot;* &quot;-&quot;_);_(@_)"/>
    <numFmt numFmtId="210" formatCode="#,##0.0_ ;[Red]\-#,##0.0\ "/>
    <numFmt numFmtId="211" formatCode="_(* #,##0.00_);_(* \(#,##0.00\);_(* &quot;-&quot;??_);_(@_)"/>
  </numFmts>
  <fonts count="1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Webdings"/>
      <family val="1"/>
      <charset val="2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4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1"/>
      <color theme="0"/>
      <name val="Arial"/>
      <family val="2"/>
    </font>
    <font>
      <sz val="11"/>
      <color indexed="9"/>
      <name val="Calibri"/>
      <family val="2"/>
    </font>
    <font>
      <sz val="11"/>
      <color indexed="37"/>
      <name val="Calibri"/>
      <family val="2"/>
    </font>
    <font>
      <sz val="11"/>
      <color indexed="17"/>
      <name val="Calibri"/>
      <family val="2"/>
    </font>
    <font>
      <sz val="8"/>
      <name val="Helv"/>
    </font>
    <font>
      <b/>
      <sz val="11"/>
      <color rgb="FFFA7D00"/>
      <name val="Arial"/>
      <family val="2"/>
    </font>
    <font>
      <b/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8.4"/>
      <color indexed="12"/>
      <name val="Arial"/>
      <family val="2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1"/>
      <color rgb="FF3F3F76"/>
      <name val="Arial"/>
      <family val="2"/>
    </font>
    <font>
      <b/>
      <sz val="9"/>
      <name val="Arial"/>
      <family val="2"/>
    </font>
    <font>
      <sz val="11"/>
      <color indexed="60"/>
      <name val="Calibri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b/>
      <sz val="11"/>
      <color indexed="63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theme="1"/>
      <name val="Arial"/>
      <family val="2"/>
    </font>
    <font>
      <sz val="8"/>
      <color indexed="10"/>
      <name val="Arial Narrow"/>
      <family val="2"/>
    </font>
    <font>
      <sz val="11"/>
      <color rgb="FF9C0006"/>
      <name val="Arial"/>
      <family val="2"/>
    </font>
    <font>
      <sz val="11"/>
      <color rgb="FF006100"/>
      <name val="Arial"/>
      <family val="2"/>
    </font>
    <font>
      <sz val="11"/>
      <color indexed="14"/>
      <name val="Calibri"/>
      <family val="2"/>
    </font>
    <font>
      <b/>
      <i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2"/>
      <name val="Verdana"/>
      <family val="2"/>
    </font>
    <font>
      <i/>
      <sz val="10"/>
      <color indexed="10"/>
      <name val="Arial"/>
      <family val="2"/>
    </font>
    <font>
      <sz val="10"/>
      <color indexed="19"/>
      <name val="Arial"/>
      <family val="2"/>
    </font>
    <font>
      <i/>
      <sz val="10"/>
      <color indexed="11"/>
      <name val="Arial"/>
      <family val="2"/>
    </font>
    <font>
      <i/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name val="Calibri"/>
      <family val="2"/>
    </font>
    <font>
      <i/>
      <sz val="10"/>
      <color indexed="23"/>
      <name val="Arial"/>
      <family val="2"/>
    </font>
    <font>
      <sz val="10"/>
      <color indexed="18"/>
      <name val="Arial"/>
      <family val="2"/>
    </font>
    <font>
      <sz val="10"/>
      <color indexed="20"/>
      <name val="Arial"/>
      <family val="2"/>
    </font>
    <font>
      <i/>
      <sz val="10"/>
      <color indexed="8"/>
      <name val="Arial"/>
      <family val="2"/>
    </font>
    <font>
      <i/>
      <sz val="11"/>
      <name val="Calibri"/>
      <family val="2"/>
      <scheme val="minor"/>
    </font>
    <font>
      <sz val="10"/>
      <color indexed="9"/>
      <name val="Arial"/>
      <family val="2"/>
    </font>
    <font>
      <i/>
      <sz val="10"/>
      <color indexed="18"/>
      <name val="Arial"/>
      <family val="2"/>
    </font>
    <font>
      <sz val="11"/>
      <color indexed="48"/>
      <name val="Calibri"/>
      <family val="2"/>
    </font>
    <font>
      <sz val="11"/>
      <name val="Arial"/>
      <family val="2"/>
    </font>
    <font>
      <b/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1"/>
      <name val="Symbol"/>
      <family val="1"/>
      <charset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name val="Arial"/>
      <family val="2"/>
    </font>
    <font>
      <b/>
      <i/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12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8"/>
        <bgColor indexed="48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25"/>
        <bgColor indexed="25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7"/>
        <bgColor indexed="5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23"/>
        <bgColor indexed="23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53"/>
        <bgColor indexed="53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2"/>
        <bgColor indexed="52"/>
      </patternFill>
    </fill>
    <fill>
      <patternFill patternType="solid">
        <fgColor indexed="42"/>
        <bgColor indexed="42"/>
      </patternFill>
    </fill>
    <fill>
      <patternFill patternType="solid">
        <fgColor indexed="35"/>
        <bgColor indexed="3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lightUp">
        <fgColor indexed="9"/>
        <bgColor indexed="49"/>
      </patternFill>
    </fill>
    <fill>
      <patternFill patternType="lightUp">
        <fgColor indexed="9"/>
        <bgColor indexed="10"/>
      </patternFill>
    </fill>
    <fill>
      <patternFill patternType="solid">
        <fgColor indexed="62"/>
      </patternFill>
    </fill>
    <fill>
      <patternFill patternType="solid">
        <fgColor indexed="44"/>
        <bgColor indexed="44"/>
      </patternFill>
    </fill>
    <fill>
      <patternFill patternType="solid">
        <fgColor indexed="30"/>
        <bgColor indexed="30"/>
      </patternFill>
    </fill>
    <fill>
      <patternFill patternType="solid">
        <fgColor indexed="10"/>
      </patternFill>
    </fill>
    <fill>
      <patternFill patternType="solid">
        <fgColor indexed="29"/>
        <bgColor indexed="29"/>
      </patternFill>
    </fill>
    <fill>
      <patternFill patternType="solid">
        <fgColor indexed="57"/>
      </patternFill>
    </fill>
    <fill>
      <patternFill patternType="solid">
        <fgColor indexed="46"/>
        <bgColor indexed="46"/>
      </patternFill>
    </fill>
    <fill>
      <patternFill patternType="solid">
        <fgColor indexed="36"/>
        <bgColor indexed="36"/>
      </patternFill>
    </fill>
    <fill>
      <patternFill patternType="solid">
        <fgColor indexed="27"/>
        <bgColor indexed="27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gray125">
        <f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rgb="FF00B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60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25"/>
      </patternFill>
    </fill>
    <fill>
      <patternFill patternType="solid">
        <fgColor indexed="35"/>
      </patternFill>
    </fill>
    <fill>
      <patternFill patternType="solid">
        <fgColor indexed="24"/>
      </patternFill>
    </fill>
    <fill>
      <patternFill patternType="solid">
        <fgColor indexed="58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</borders>
  <cellStyleXfs count="2307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0" fontId="15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173" fontId="13" fillId="0" borderId="0" applyFont="0" applyFill="0" applyBorder="0" applyAlignment="0" applyProtection="0">
      <alignment vertical="center"/>
    </xf>
    <xf numFmtId="174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179" fontId="6" fillId="0" borderId="0" applyFont="0" applyFill="0" applyBorder="0" applyAlignment="0" applyProtection="0"/>
    <xf numFmtId="180" fontId="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6" fillId="37" borderId="0" applyNumberFormat="0" applyFont="0" applyAlignment="0" applyProtection="0"/>
    <xf numFmtId="181" fontId="6" fillId="0" borderId="0" applyFont="0" applyFill="0" applyBorder="0" applyAlignment="0" applyProtection="0"/>
    <xf numFmtId="182" fontId="6" fillId="0" borderId="0" applyFont="0" applyFill="0" applyBorder="0" applyProtection="0">
      <alignment horizontal="right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2" fillId="0" borderId="18" applyNumberFormat="0" applyFill="0" applyAlignment="0" applyProtection="0"/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19" applyNumberFormat="0" applyFill="0" applyProtection="0">
      <alignment horizontal="center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3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183" fontId="35" fillId="14" borderId="0" applyNumberFormat="0" applyBorder="0" applyAlignment="0" applyProtection="0"/>
    <xf numFmtId="183" fontId="35" fillId="18" borderId="0" applyNumberFormat="0" applyBorder="0" applyAlignment="0" applyProtection="0"/>
    <xf numFmtId="183" fontId="35" fillId="22" borderId="0" applyNumberFormat="0" applyBorder="0" applyAlignment="0" applyProtection="0"/>
    <xf numFmtId="183" fontId="35" fillId="26" borderId="0" applyNumberFormat="0" applyBorder="0" applyAlignment="0" applyProtection="0"/>
    <xf numFmtId="183" fontId="35" fillId="30" borderId="0" applyNumberFormat="0" applyBorder="0" applyAlignment="0" applyProtection="0"/>
    <xf numFmtId="183" fontId="35" fillId="34" borderId="0" applyNumberFormat="0" applyBorder="0" applyAlignment="0" applyProtection="0"/>
    <xf numFmtId="0" fontId="36" fillId="38" borderId="0" applyNumberFormat="0" applyBorder="0" applyAlignment="0" applyProtection="0"/>
    <xf numFmtId="0" fontId="36" fillId="39" borderId="0" applyNumberFormat="0" applyBorder="0" applyAlignment="0" applyProtection="0"/>
    <xf numFmtId="0" fontId="36" fillId="40" borderId="0" applyNumberFormat="0" applyBorder="0" applyAlignment="0" applyProtection="0"/>
    <xf numFmtId="0" fontId="36" fillId="41" borderId="0" applyNumberFormat="0" applyBorder="0" applyAlignment="0" applyProtection="0"/>
    <xf numFmtId="0" fontId="36" fillId="42" borderId="0" applyNumberFormat="0" applyBorder="0" applyAlignment="0" applyProtection="0"/>
    <xf numFmtId="0" fontId="36" fillId="43" borderId="0" applyNumberFormat="0" applyBorder="0" applyAlignment="0" applyProtection="0"/>
    <xf numFmtId="183" fontId="35" fillId="15" borderId="0" applyNumberFormat="0" applyBorder="0" applyAlignment="0" applyProtection="0"/>
    <xf numFmtId="183" fontId="35" fillId="19" borderId="0" applyNumberFormat="0" applyBorder="0" applyAlignment="0" applyProtection="0"/>
    <xf numFmtId="183" fontId="35" fillId="23" borderId="0" applyNumberFormat="0" applyBorder="0" applyAlignment="0" applyProtection="0"/>
    <xf numFmtId="183" fontId="35" fillId="27" borderId="0" applyNumberFormat="0" applyBorder="0" applyAlignment="0" applyProtection="0"/>
    <xf numFmtId="183" fontId="35" fillId="31" borderId="0" applyNumberFormat="0" applyBorder="0" applyAlignment="0" applyProtection="0"/>
    <xf numFmtId="183" fontId="35" fillId="35" borderId="0" applyNumberFormat="0" applyBorder="0" applyAlignment="0" applyProtection="0"/>
    <xf numFmtId="0" fontId="36" fillId="44" borderId="0" applyNumberFormat="0" applyBorder="0" applyAlignment="0" applyProtection="0"/>
    <xf numFmtId="0" fontId="36" fillId="45" borderId="0" applyNumberFormat="0" applyBorder="0" applyAlignment="0" applyProtection="0"/>
    <xf numFmtId="0" fontId="36" fillId="46" borderId="0" applyNumberFormat="0" applyBorder="0" applyAlignment="0" applyProtection="0"/>
    <xf numFmtId="0" fontId="36" fillId="41" borderId="0" applyNumberFormat="0" applyBorder="0" applyAlignment="0" applyProtection="0"/>
    <xf numFmtId="0" fontId="36" fillId="44" borderId="0" applyNumberFormat="0" applyBorder="0" applyAlignment="0" applyProtection="0"/>
    <xf numFmtId="0" fontId="36" fillId="47" borderId="0" applyNumberFormat="0" applyBorder="0" applyAlignment="0" applyProtection="0"/>
    <xf numFmtId="183" fontId="37" fillId="16" borderId="0" applyNumberFormat="0" applyBorder="0" applyAlignment="0" applyProtection="0"/>
    <xf numFmtId="183" fontId="37" fillId="20" borderId="0" applyNumberFormat="0" applyBorder="0" applyAlignment="0" applyProtection="0"/>
    <xf numFmtId="183" fontId="37" fillId="24" borderId="0" applyNumberFormat="0" applyBorder="0" applyAlignment="0" applyProtection="0"/>
    <xf numFmtId="183" fontId="37" fillId="28" borderId="0" applyNumberFormat="0" applyBorder="0" applyAlignment="0" applyProtection="0"/>
    <xf numFmtId="183" fontId="37" fillId="32" borderId="0" applyNumberFormat="0" applyBorder="0" applyAlignment="0" applyProtection="0"/>
    <xf numFmtId="183" fontId="37" fillId="36" borderId="0" applyNumberFormat="0" applyBorder="0" applyAlignment="0" applyProtection="0"/>
    <xf numFmtId="0" fontId="38" fillId="48" borderId="0" applyNumberFormat="0" applyBorder="0" applyAlignment="0" applyProtection="0"/>
    <xf numFmtId="0" fontId="38" fillId="45" borderId="0" applyNumberFormat="0" applyBorder="0" applyAlignment="0" applyProtection="0"/>
    <xf numFmtId="0" fontId="38" fillId="46" borderId="0" applyNumberFormat="0" applyBorder="0" applyAlignment="0" applyProtection="0"/>
    <xf numFmtId="0" fontId="38" fillId="49" borderId="0" applyNumberFormat="0" applyBorder="0" applyAlignment="0" applyProtection="0"/>
    <xf numFmtId="0" fontId="38" fillId="50" borderId="0" applyNumberFormat="0" applyBorder="0" applyAlignment="0" applyProtection="0"/>
    <xf numFmtId="0" fontId="38" fillId="51" borderId="0" applyNumberFormat="0" applyBorder="0" applyAlignment="0" applyProtection="0"/>
    <xf numFmtId="0" fontId="38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4" borderId="0" applyNumberFormat="0" applyBorder="0" applyAlignment="0" applyProtection="0"/>
    <xf numFmtId="0" fontId="38" fillId="55" borderId="0" applyNumberFormat="0" applyBorder="0" applyAlignment="0" applyProtection="0"/>
    <xf numFmtId="0" fontId="38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8" fillId="59" borderId="0" applyNumberFormat="0" applyBorder="0" applyAlignment="0" applyProtection="0"/>
    <xf numFmtId="0" fontId="38" fillId="60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8" fillId="63" borderId="0" applyNumberFormat="0" applyBorder="0" applyAlignment="0" applyProtection="0"/>
    <xf numFmtId="0" fontId="38" fillId="64" borderId="0" applyNumberFormat="0" applyBorder="0" applyAlignment="0" applyProtection="0"/>
    <xf numFmtId="0" fontId="38" fillId="65" borderId="0" applyNumberFormat="0" applyBorder="0" applyAlignment="0" applyProtection="0"/>
    <xf numFmtId="0" fontId="36" fillId="57" borderId="0" applyNumberFormat="0" applyBorder="0" applyAlignment="0" applyProtection="0"/>
    <xf numFmtId="0" fontId="36" fillId="64" borderId="0" applyNumberFormat="0" applyBorder="0" applyAlignment="0" applyProtection="0"/>
    <xf numFmtId="0" fontId="38" fillId="58" borderId="0" applyNumberFormat="0" applyBorder="0" applyAlignment="0" applyProtection="0"/>
    <xf numFmtId="0" fontId="38" fillId="66" borderId="0" applyNumberFormat="0" applyBorder="0" applyAlignment="0" applyProtection="0"/>
    <xf numFmtId="0" fontId="38" fillId="55" borderId="0" applyNumberFormat="0" applyBorder="0" applyAlignment="0" applyProtection="0"/>
    <xf numFmtId="0" fontId="36" fillId="67" borderId="0" applyNumberFormat="0" applyBorder="0" applyAlignment="0" applyProtection="0"/>
    <xf numFmtId="0" fontId="36" fillId="68" borderId="0" applyNumberFormat="0" applyBorder="0" applyAlignment="0" applyProtection="0"/>
    <xf numFmtId="0" fontId="38" fillId="55" borderId="0" applyNumberFormat="0" applyBorder="0" applyAlignment="0" applyProtection="0"/>
    <xf numFmtId="0" fontId="38" fillId="69" borderId="0" applyNumberFormat="0" applyBorder="0" applyAlignment="0" applyProtection="0"/>
    <xf numFmtId="0" fontId="38" fillId="70" borderId="0" applyNumberFormat="0" applyBorder="0" applyAlignment="0" applyProtection="0"/>
    <xf numFmtId="0" fontId="36" fillId="71" borderId="0" applyNumberFormat="0" applyBorder="0" applyAlignment="0" applyProtection="0"/>
    <xf numFmtId="0" fontId="36" fillId="72" borderId="0" applyNumberFormat="0" applyBorder="0" applyAlignment="0" applyProtection="0"/>
    <xf numFmtId="0" fontId="38" fillId="73" borderId="0" applyNumberFormat="0" applyBorder="0" applyAlignment="0" applyProtection="0"/>
    <xf numFmtId="0" fontId="38" fillId="74" borderId="0" applyNumberFormat="0" applyBorder="0" applyAlignment="0" applyProtection="0"/>
    <xf numFmtId="0" fontId="39" fillId="71" borderId="0" applyNumberFormat="0" applyBorder="0" applyAlignment="0" applyProtection="0"/>
    <xf numFmtId="184" fontId="9" fillId="0" borderId="0" applyFont="0" applyFill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75" borderId="0" applyNumberFormat="0" applyBorder="0" applyAlignment="0" applyProtection="0"/>
    <xf numFmtId="185" fontId="6" fillId="0" borderId="0" applyFill="0" applyBorder="0" applyAlignment="0"/>
    <xf numFmtId="186" fontId="41" fillId="0" borderId="0" applyFill="0" applyBorder="0" applyAlignment="0"/>
    <xf numFmtId="187" fontId="41" fillId="0" borderId="0" applyFill="0" applyBorder="0" applyAlignment="0"/>
    <xf numFmtId="188" fontId="41" fillId="0" borderId="0" applyFill="0" applyBorder="0" applyAlignment="0"/>
    <xf numFmtId="189" fontId="41" fillId="0" borderId="0" applyFill="0" applyBorder="0" applyAlignment="0"/>
    <xf numFmtId="185" fontId="6" fillId="0" borderId="0" applyFill="0" applyBorder="0" applyAlignment="0"/>
    <xf numFmtId="190" fontId="41" fillId="0" borderId="0" applyFill="0" applyBorder="0" applyAlignment="0"/>
    <xf numFmtId="186" fontId="41" fillId="0" borderId="0" applyFill="0" applyBorder="0" applyAlignment="0"/>
    <xf numFmtId="183" fontId="42" fillId="10" borderId="12" applyNumberFormat="0" applyAlignment="0" applyProtection="0"/>
    <xf numFmtId="0" fontId="43" fillId="76" borderId="20" applyNumberFormat="0" applyAlignment="0" applyProtection="0"/>
    <xf numFmtId="0" fontId="44" fillId="77" borderId="21" applyNumberFormat="0" applyAlignment="0" applyProtection="0"/>
    <xf numFmtId="0" fontId="44" fillId="77" borderId="21" applyNumberFormat="0" applyAlignment="0" applyProtection="0"/>
    <xf numFmtId="0" fontId="45" fillId="78" borderId="21" applyNumberFormat="0" applyAlignment="0" applyProtection="0"/>
    <xf numFmtId="0" fontId="46" fillId="79" borderId="22" applyNumberFormat="0" applyAlignment="0" applyProtection="0"/>
    <xf numFmtId="0" fontId="46" fillId="79" borderId="22" applyNumberFormat="0" applyAlignment="0" applyProtection="0"/>
    <xf numFmtId="0" fontId="46" fillId="64" borderId="22" applyNumberFormat="0" applyAlignment="0" applyProtection="0"/>
    <xf numFmtId="0" fontId="47" fillId="0" borderId="23" applyNumberFormat="0" applyFill="0" applyAlignment="0" applyProtection="0"/>
    <xf numFmtId="183" fontId="48" fillId="0" borderId="14" applyNumberFormat="0" applyFill="0" applyAlignment="0" applyProtection="0"/>
    <xf numFmtId="183" fontId="49" fillId="11" borderId="15" applyNumberFormat="0" applyAlignment="0" applyProtection="0"/>
    <xf numFmtId="0" fontId="46" fillId="65" borderId="22" applyNumberFormat="0" applyAlignment="0" applyProtection="0"/>
    <xf numFmtId="183" fontId="37" fillId="13" borderId="0" applyNumberFormat="0" applyBorder="0" applyAlignment="0" applyProtection="0"/>
    <xf numFmtId="183" fontId="37" fillId="17" borderId="0" applyNumberFormat="0" applyBorder="0" applyAlignment="0" applyProtection="0"/>
    <xf numFmtId="183" fontId="37" fillId="21" borderId="0" applyNumberFormat="0" applyBorder="0" applyAlignment="0" applyProtection="0"/>
    <xf numFmtId="183" fontId="37" fillId="25" borderId="0" applyNumberFormat="0" applyBorder="0" applyAlignment="0" applyProtection="0"/>
    <xf numFmtId="183" fontId="37" fillId="29" borderId="0" applyNumberFormat="0" applyBorder="0" applyAlignment="0" applyProtection="0"/>
    <xf numFmtId="183" fontId="37" fillId="33" borderId="0" applyNumberFormat="0" applyBorder="0" applyAlignment="0" applyProtection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191" fontId="6" fillId="0" borderId="0"/>
    <xf numFmtId="0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86" fontId="41" fillId="0" borderId="0" applyFont="0" applyFill="0" applyBorder="0" applyAlignment="0" applyProtection="0"/>
    <xf numFmtId="190" fontId="41" fillId="0" borderId="0" applyFont="0" applyFill="0" applyBorder="0" applyAlignment="0" applyProtection="0"/>
    <xf numFmtId="14" fontId="6" fillId="0" borderId="0">
      <alignment horizontal="center"/>
    </xf>
    <xf numFmtId="14" fontId="50" fillId="0" borderId="0" applyFill="0" applyBorder="0" applyAlignment="0"/>
    <xf numFmtId="38" fontId="14" fillId="0" borderId="0" applyFont="0" applyFill="0" applyBorder="0" applyAlignment="0" applyProtection="0"/>
    <xf numFmtId="40" fontId="14" fillId="0" borderId="0" applyFont="0" applyFill="0" applyBorder="0" applyAlignment="0" applyProtection="0"/>
    <xf numFmtId="0" fontId="51" fillId="80" borderId="0" applyNumberFormat="0" applyBorder="0" applyAlignment="0" applyProtection="0"/>
    <xf numFmtId="0" fontId="51" fillId="81" borderId="0" applyNumberFormat="0" applyBorder="0" applyAlignment="0" applyProtection="0"/>
    <xf numFmtId="0" fontId="51" fillId="82" borderId="0" applyNumberFormat="0" applyBorder="0" applyAlignment="0" applyProtection="0"/>
    <xf numFmtId="0" fontId="52" fillId="0" borderId="0" applyNumberFormat="0" applyFill="0" applyBorder="0" applyAlignment="0" applyProtection="0"/>
    <xf numFmtId="0" fontId="51" fillId="83" borderId="0" applyNumberFormat="0" applyBorder="0" applyAlignment="0" applyProtection="0"/>
    <xf numFmtId="0" fontId="51" fillId="84" borderId="0" applyNumberFormat="0" applyBorder="0" applyAlignment="0" applyProtection="0"/>
    <xf numFmtId="0" fontId="51" fillId="82" borderId="0" applyNumberFormat="0" applyBorder="0" applyAlignment="0" applyProtection="0"/>
    <xf numFmtId="0" fontId="38" fillId="85" borderId="0" applyNumberFormat="0" applyBorder="0" applyAlignment="0" applyProtection="0"/>
    <xf numFmtId="0" fontId="36" fillId="57" borderId="0" applyNumberFormat="0" applyBorder="0" applyAlignment="0" applyProtection="0"/>
    <xf numFmtId="0" fontId="36" fillId="86" borderId="0" applyNumberFormat="0" applyBorder="0" applyAlignment="0" applyProtection="0"/>
    <xf numFmtId="0" fontId="38" fillId="87" borderId="0" applyNumberFormat="0" applyBorder="0" applyAlignment="0" applyProtection="0"/>
    <xf numFmtId="0" fontId="38" fillId="85" borderId="0" applyNumberFormat="0" applyBorder="0" applyAlignment="0" applyProtection="0"/>
    <xf numFmtId="0" fontId="38" fillId="68" borderId="0" applyNumberFormat="0" applyBorder="0" applyAlignment="0" applyProtection="0"/>
    <xf numFmtId="0" fontId="38" fillId="88" borderId="0" applyNumberFormat="0" applyBorder="0" applyAlignment="0" applyProtection="0"/>
    <xf numFmtId="0" fontId="36" fillId="59" borderId="0" applyNumberFormat="0" applyBorder="0" applyAlignment="0" applyProtection="0"/>
    <xf numFmtId="0" fontId="36" fillId="89" borderId="0" applyNumberFormat="0" applyBorder="0" applyAlignment="0" applyProtection="0"/>
    <xf numFmtId="0" fontId="38" fillId="89" borderId="0" applyNumberFormat="0" applyBorder="0" applyAlignment="0" applyProtection="0"/>
    <xf numFmtId="0" fontId="38" fillId="88" borderId="0" applyNumberFormat="0" applyBorder="0" applyAlignment="0" applyProtection="0"/>
    <xf numFmtId="0" fontId="38" fillId="56" borderId="0" applyNumberFormat="0" applyBorder="0" applyAlignment="0" applyProtection="0"/>
    <xf numFmtId="0" fontId="38" fillId="90" borderId="0" applyNumberFormat="0" applyBorder="0" applyAlignment="0" applyProtection="0"/>
    <xf numFmtId="0" fontId="36" fillId="75" borderId="0" applyNumberFormat="0" applyBorder="0" applyAlignment="0" applyProtection="0"/>
    <xf numFmtId="0" fontId="36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90" borderId="0" applyNumberFormat="0" applyBorder="0" applyAlignment="0" applyProtection="0"/>
    <xf numFmtId="0" fontId="38" fillId="64" borderId="0" applyNumberFormat="0" applyBorder="0" applyAlignment="0" applyProtection="0"/>
    <xf numFmtId="0" fontId="38" fillId="49" borderId="0" applyNumberFormat="0" applyBorder="0" applyAlignment="0" applyProtection="0"/>
    <xf numFmtId="0" fontId="36" fillId="91" borderId="0" applyNumberFormat="0" applyBorder="0" applyAlignment="0" applyProtection="0"/>
    <xf numFmtId="0" fontId="36" fillId="91" borderId="0" applyNumberFormat="0" applyBorder="0" applyAlignment="0" applyProtection="0"/>
    <xf numFmtId="0" fontId="38" fillId="92" borderId="0" applyNumberFormat="0" applyBorder="0" applyAlignment="0" applyProtection="0"/>
    <xf numFmtId="0" fontId="38" fillId="49" borderId="0" applyNumberFormat="0" applyBorder="0" applyAlignment="0" applyProtection="0"/>
    <xf numFmtId="0" fontId="38" fillId="68" borderId="0" applyNumberFormat="0" applyBorder="0" applyAlignment="0" applyProtection="0"/>
    <xf numFmtId="0" fontId="38" fillId="50" borderId="0" applyNumberFormat="0" applyBorder="0" applyAlignment="0" applyProtection="0"/>
    <xf numFmtId="0" fontId="36" fillId="93" borderId="0" applyNumberFormat="0" applyBorder="0" applyAlignment="0" applyProtection="0"/>
    <xf numFmtId="0" fontId="36" fillId="86" borderId="0" applyNumberFormat="0" applyBorder="0" applyAlignment="0" applyProtection="0"/>
    <xf numFmtId="0" fontId="38" fillId="69" borderId="0" applyNumberFormat="0" applyBorder="0" applyAlignment="0" applyProtection="0"/>
    <xf numFmtId="0" fontId="38" fillId="50" borderId="0" applyNumberFormat="0" applyBorder="0" applyAlignment="0" applyProtection="0"/>
    <xf numFmtId="0" fontId="38" fillId="69" borderId="0" applyNumberFormat="0" applyBorder="0" applyAlignment="0" applyProtection="0"/>
    <xf numFmtId="0" fontId="38" fillId="94" borderId="0" applyNumberFormat="0" applyBorder="0" applyAlignment="0" applyProtection="0"/>
    <xf numFmtId="0" fontId="36" fillId="72" borderId="0" applyNumberFormat="0" applyBorder="0" applyAlignment="0" applyProtection="0"/>
    <xf numFmtId="0" fontId="36" fillId="73" borderId="0" applyNumberFormat="0" applyBorder="0" applyAlignment="0" applyProtection="0"/>
    <xf numFmtId="0" fontId="38" fillId="74" borderId="0" applyNumberFormat="0" applyBorder="0" applyAlignment="0" applyProtection="0"/>
    <xf numFmtId="0" fontId="38" fillId="94" borderId="0" applyNumberFormat="0" applyBorder="0" applyAlignment="0" applyProtection="0"/>
    <xf numFmtId="0" fontId="38" fillId="74" borderId="0" applyNumberFormat="0" applyBorder="0" applyAlignment="0" applyProtection="0"/>
    <xf numFmtId="185" fontId="6" fillId="0" borderId="0" applyFill="0" applyBorder="0" applyAlignment="0"/>
    <xf numFmtId="186" fontId="41" fillId="0" borderId="0" applyFill="0" applyBorder="0" applyAlignment="0"/>
    <xf numFmtId="185" fontId="6" fillId="0" borderId="0" applyFill="0" applyBorder="0" applyAlignment="0"/>
    <xf numFmtId="190" fontId="41" fillId="0" borderId="0" applyFill="0" applyBorder="0" applyAlignment="0"/>
    <xf numFmtId="186" fontId="41" fillId="0" borderId="0" applyFill="0" applyBorder="0" applyAlignment="0"/>
    <xf numFmtId="0" fontId="53" fillId="43" borderId="21" applyNumberFormat="0" applyAlignment="0" applyProtection="0"/>
    <xf numFmtId="0" fontId="53" fillId="43" borderId="21" applyNumberFormat="0" applyAlignment="0" applyProtection="0"/>
    <xf numFmtId="0" fontId="53" fillId="72" borderId="21" applyNumberFormat="0" applyAlignment="0" applyProtection="0"/>
    <xf numFmtId="183" fontId="6" fillId="0" borderId="0" applyFont="0" applyFill="0" applyBorder="0" applyAlignment="0" applyProtection="0"/>
    <xf numFmtId="0" fontId="36" fillId="62" borderId="0" applyNumberFormat="0" applyBorder="0" applyAlignment="0" applyProtection="0"/>
    <xf numFmtId="38" fontId="10" fillId="95" borderId="0" applyNumberFormat="0" applyBorder="0" applyAlignment="0" applyProtection="0"/>
    <xf numFmtId="41" fontId="9" fillId="96" borderId="2" applyNumberFormat="0" applyFont="0" applyBorder="0" applyAlignment="0" applyProtection="0"/>
    <xf numFmtId="0" fontId="7" fillId="0" borderId="4" applyNumberFormat="0" applyAlignment="0" applyProtection="0">
      <alignment horizontal="left" vertical="center"/>
    </xf>
    <xf numFmtId="0" fontId="7" fillId="0" borderId="1">
      <alignment horizontal="left" vertical="center"/>
    </xf>
    <xf numFmtId="0" fontId="54" fillId="0" borderId="24" applyNumberFormat="0" applyFill="0" applyAlignment="0" applyProtection="0"/>
    <xf numFmtId="0" fontId="55" fillId="0" borderId="25" applyNumberFormat="0" applyFill="0" applyAlignment="0" applyProtection="0"/>
    <xf numFmtId="0" fontId="56" fillId="0" borderId="26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>
      <alignment vertical="top"/>
      <protection locked="0"/>
    </xf>
    <xf numFmtId="0" fontId="58" fillId="39" borderId="0" applyNumberFormat="0" applyBorder="0" applyAlignment="0" applyProtection="0"/>
    <xf numFmtId="0" fontId="58" fillId="39" borderId="0" applyNumberFormat="0" applyBorder="0" applyAlignment="0" applyProtection="0"/>
    <xf numFmtId="0" fontId="59" fillId="59" borderId="0" applyNumberFormat="0" applyBorder="0" applyAlignment="0" applyProtection="0"/>
    <xf numFmtId="10" fontId="10" fillId="97" borderId="6" applyNumberFormat="0" applyBorder="0" applyAlignment="0" applyProtection="0"/>
    <xf numFmtId="183" fontId="60" fillId="9" borderId="12" applyNumberFormat="0" applyAlignment="0" applyProtection="0"/>
    <xf numFmtId="0" fontId="13" fillId="0" borderId="0">
      <alignment vertical="center"/>
    </xf>
    <xf numFmtId="0" fontId="9" fillId="0" borderId="0">
      <alignment vertical="center"/>
    </xf>
    <xf numFmtId="0" fontId="61" fillId="0" borderId="0"/>
    <xf numFmtId="185" fontId="6" fillId="0" borderId="0" applyFill="0" applyBorder="0" applyAlignment="0"/>
    <xf numFmtId="186" fontId="41" fillId="0" borderId="0" applyFill="0" applyBorder="0" applyAlignment="0"/>
    <xf numFmtId="185" fontId="6" fillId="0" borderId="0" applyFill="0" applyBorder="0" applyAlignment="0"/>
    <xf numFmtId="190" fontId="41" fillId="0" borderId="0" applyFill="0" applyBorder="0" applyAlignment="0"/>
    <xf numFmtId="186" fontId="41" fillId="0" borderId="0" applyFill="0" applyBorder="0" applyAlignment="0"/>
    <xf numFmtId="0" fontId="40" fillId="0" borderId="27" applyNumberFormat="0" applyFill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2" fillId="37" borderId="0" applyNumberFormat="0" applyBorder="0" applyAlignment="0" applyProtection="0"/>
    <xf numFmtId="0" fontId="62" fillId="37" borderId="0" applyNumberFormat="0" applyBorder="0" applyAlignment="0" applyProtection="0"/>
    <xf numFmtId="0" fontId="62" fillId="98" borderId="0" applyNumberFormat="0" applyBorder="0" applyAlignment="0" applyProtection="0"/>
    <xf numFmtId="183" fontId="63" fillId="8" borderId="0" applyNumberFormat="0" applyBorder="0" applyAlignment="0" applyProtection="0"/>
    <xf numFmtId="194" fontId="6" fillId="0" borderId="0"/>
    <xf numFmtId="0" fontId="36" fillId="0" borderId="0"/>
    <xf numFmtId="0" fontId="6" fillId="0" borderId="0"/>
    <xf numFmtId="0" fontId="6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0" borderId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183" fontId="35" fillId="12" borderId="16" applyNumberFormat="0" applyFont="0" applyAlignment="0" applyProtection="0"/>
    <xf numFmtId="0" fontId="6" fillId="99" borderId="28" applyNumberFormat="0" applyFont="0" applyAlignment="0" applyProtection="0"/>
    <xf numFmtId="0" fontId="36" fillId="99" borderId="28" applyNumberFormat="0" applyFont="0" applyAlignment="0" applyProtection="0"/>
    <xf numFmtId="0" fontId="6" fillId="71" borderId="28" applyNumberFormat="0" applyFont="0" applyAlignment="0" applyProtection="0"/>
    <xf numFmtId="0" fontId="10" fillId="71" borderId="20" applyNumberFormat="0" applyFont="0" applyAlignment="0" applyProtection="0"/>
    <xf numFmtId="0" fontId="8" fillId="0" borderId="29" applyFill="0" applyBorder="0">
      <alignment horizontal="right"/>
    </xf>
    <xf numFmtId="183" fontId="64" fillId="10" borderId="13" applyNumberFormat="0" applyAlignment="0" applyProtection="0"/>
    <xf numFmtId="195" fontId="6" fillId="0" borderId="30" applyFont="0" applyFill="0" applyBorder="0" applyAlignment="0" applyProtection="0"/>
    <xf numFmtId="196" fontId="6" fillId="0" borderId="0" applyFont="0" applyFill="0" applyBorder="0" applyAlignment="0" applyProtection="0"/>
    <xf numFmtId="189" fontId="41" fillId="0" borderId="0" applyFont="0" applyFill="0" applyBorder="0" applyAlignment="0" applyProtection="0"/>
    <xf numFmtId="192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97" fontId="41" fillId="0" borderId="0" applyFont="0" applyFill="0" applyBorder="0" applyAlignment="0" applyProtection="0"/>
    <xf numFmtId="9" fontId="6" fillId="0" borderId="0" applyFont="0" applyFill="0" applyBorder="0" applyAlignment="0" applyProtection="0"/>
    <xf numFmtId="185" fontId="6" fillId="0" borderId="0" applyFill="0" applyBorder="0" applyAlignment="0"/>
    <xf numFmtId="186" fontId="41" fillId="0" borderId="0" applyFill="0" applyBorder="0" applyAlignment="0"/>
    <xf numFmtId="185" fontId="6" fillId="0" borderId="0" applyFill="0" applyBorder="0" applyAlignment="0"/>
    <xf numFmtId="190" fontId="41" fillId="0" borderId="0" applyFill="0" applyBorder="0" applyAlignment="0"/>
    <xf numFmtId="186" fontId="41" fillId="0" borderId="0" applyFill="0" applyBorder="0" applyAlignment="0"/>
    <xf numFmtId="0" fontId="65" fillId="77" borderId="31" applyNumberFormat="0" applyAlignment="0" applyProtection="0"/>
    <xf numFmtId="0" fontId="65" fillId="77" borderId="31" applyNumberFormat="0" applyAlignment="0" applyProtection="0"/>
    <xf numFmtId="0" fontId="65" fillId="78" borderId="31" applyNumberFormat="0" applyAlignment="0" applyProtection="0"/>
    <xf numFmtId="4" fontId="10" fillId="37" borderId="20" applyNumberFormat="0" applyProtection="0">
      <alignment vertical="center"/>
    </xf>
    <xf numFmtId="4" fontId="66" fillId="4" borderId="20" applyNumberFormat="0" applyProtection="0">
      <alignment vertical="center"/>
    </xf>
    <xf numFmtId="4" fontId="10" fillId="4" borderId="20" applyNumberFormat="0" applyProtection="0">
      <alignment horizontal="left" vertical="center" indent="1"/>
    </xf>
    <xf numFmtId="0" fontId="67" fillId="37" borderId="32" applyNumberFormat="0" applyProtection="0">
      <alignment horizontal="left" vertical="top" indent="1"/>
    </xf>
    <xf numFmtId="4" fontId="10" fillId="50" borderId="20" applyNumberFormat="0" applyProtection="0">
      <alignment horizontal="left" vertical="center" indent="1"/>
    </xf>
    <xf numFmtId="4" fontId="10" fillId="39" borderId="20" applyNumberFormat="0" applyProtection="0">
      <alignment horizontal="right" vertical="center"/>
    </xf>
    <xf numFmtId="4" fontId="10" fillId="100" borderId="20" applyNumberFormat="0" applyProtection="0">
      <alignment horizontal="right" vertical="center"/>
    </xf>
    <xf numFmtId="4" fontId="10" fillId="88" borderId="33" applyNumberFormat="0" applyProtection="0">
      <alignment horizontal="right" vertical="center"/>
    </xf>
    <xf numFmtId="4" fontId="10" fillId="47" borderId="20" applyNumberFormat="0" applyProtection="0">
      <alignment horizontal="right" vertical="center"/>
    </xf>
    <xf numFmtId="4" fontId="10" fillId="51" borderId="20" applyNumberFormat="0" applyProtection="0">
      <alignment horizontal="right" vertical="center"/>
    </xf>
    <xf numFmtId="4" fontId="10" fillId="94" borderId="20" applyNumberFormat="0" applyProtection="0">
      <alignment horizontal="right" vertical="center"/>
    </xf>
    <xf numFmtId="4" fontId="10" fillId="90" borderId="20" applyNumberFormat="0" applyProtection="0">
      <alignment horizontal="right" vertical="center"/>
    </xf>
    <xf numFmtId="4" fontId="10" fillId="101" borderId="20" applyNumberFormat="0" applyProtection="0">
      <alignment horizontal="right" vertical="center"/>
    </xf>
    <xf numFmtId="4" fontId="10" fillId="46" borderId="20" applyNumberFormat="0" applyProtection="0">
      <alignment horizontal="right" vertical="center"/>
    </xf>
    <xf numFmtId="4" fontId="10" fillId="102" borderId="33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10" fillId="104" borderId="20" applyNumberFormat="0" applyProtection="0">
      <alignment horizontal="right" vertical="center"/>
    </xf>
    <xf numFmtId="4" fontId="10" fillId="105" borderId="33" applyNumberFormat="0" applyProtection="0">
      <alignment horizontal="left" vertical="center" indent="1"/>
    </xf>
    <xf numFmtId="4" fontId="10" fillId="104" borderId="33" applyNumberFormat="0" applyProtection="0">
      <alignment horizontal="left" vertical="center" indent="1"/>
    </xf>
    <xf numFmtId="0" fontId="10" fillId="77" borderId="20" applyNumberFormat="0" applyProtection="0">
      <alignment horizontal="left" vertical="center" indent="1"/>
    </xf>
    <xf numFmtId="0" fontId="10" fillId="103" borderId="32" applyNumberFormat="0" applyProtection="0">
      <alignment horizontal="left" vertical="top" indent="1"/>
    </xf>
    <xf numFmtId="0" fontId="10" fillId="106" borderId="20" applyNumberFormat="0" applyProtection="0">
      <alignment horizontal="left" vertical="center" indent="1"/>
    </xf>
    <xf numFmtId="0" fontId="10" fillId="104" borderId="32" applyNumberFormat="0" applyProtection="0">
      <alignment horizontal="left" vertical="top" indent="1"/>
    </xf>
    <xf numFmtId="0" fontId="10" fillId="44" borderId="20" applyNumberFormat="0" applyProtection="0">
      <alignment horizontal="left" vertical="center" indent="1"/>
    </xf>
    <xf numFmtId="0" fontId="10" fillId="44" borderId="32" applyNumberFormat="0" applyProtection="0">
      <alignment horizontal="left" vertical="top" indent="1"/>
    </xf>
    <xf numFmtId="0" fontId="10" fillId="105" borderId="20" applyNumberFormat="0" applyProtection="0">
      <alignment horizontal="left" vertical="center" indent="1"/>
    </xf>
    <xf numFmtId="0" fontId="10" fillId="105" borderId="32" applyNumberFormat="0" applyProtection="0">
      <alignment horizontal="left" vertical="top" indent="1"/>
    </xf>
    <xf numFmtId="0" fontId="10" fillId="107" borderId="34" applyNumberFormat="0">
      <protection locked="0"/>
    </xf>
    <xf numFmtId="0" fontId="12" fillId="103" borderId="35" applyBorder="0"/>
    <xf numFmtId="4" fontId="68" fillId="99" borderId="32" applyNumberFormat="0" applyProtection="0">
      <alignment vertical="center"/>
    </xf>
    <xf numFmtId="4" fontId="66" fillId="97" borderId="6" applyNumberFormat="0" applyProtection="0">
      <alignment vertical="center"/>
    </xf>
    <xf numFmtId="4" fontId="68" fillId="77" borderId="32" applyNumberFormat="0" applyProtection="0">
      <alignment horizontal="left" vertical="center" indent="1"/>
    </xf>
    <xf numFmtId="0" fontId="68" fillId="99" borderId="32" applyNumberFormat="0" applyProtection="0">
      <alignment horizontal="left" vertical="top" indent="1"/>
    </xf>
    <xf numFmtId="4" fontId="10" fillId="0" borderId="20" applyNumberFormat="0" applyProtection="0">
      <alignment horizontal="right" vertical="center"/>
    </xf>
    <xf numFmtId="4" fontId="66" fillId="5" borderId="20" applyNumberFormat="0" applyProtection="0">
      <alignment horizontal="right" vertical="center"/>
    </xf>
    <xf numFmtId="4" fontId="50" fillId="104" borderId="32" applyNumberFormat="0" applyProtection="0">
      <alignment horizontal="left" vertical="center" indent="1"/>
    </xf>
    <xf numFmtId="0" fontId="68" fillId="104" borderId="32" applyNumberFormat="0" applyProtection="0">
      <alignment horizontal="left" vertical="top" indent="1"/>
    </xf>
    <xf numFmtId="4" fontId="69" fillId="108" borderId="33" applyNumberFormat="0" applyProtection="0">
      <alignment horizontal="left" vertical="center" indent="1"/>
    </xf>
    <xf numFmtId="0" fontId="10" fillId="109" borderId="6"/>
    <xf numFmtId="4" fontId="70" fillId="107" borderId="20" applyNumberFormat="0" applyProtection="0">
      <alignment horizontal="right" vertical="center"/>
    </xf>
    <xf numFmtId="0" fontId="71" fillId="0" borderId="0" applyNumberFormat="0" applyFill="0" applyBorder="0" applyAlignment="0" applyProtection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3" fontId="72" fillId="0" borderId="0" applyNumberFormat="0" applyFill="0" applyBorder="0" applyAlignment="0" applyProtection="0"/>
    <xf numFmtId="183" fontId="73" fillId="0" borderId="0" applyNumberFormat="0" applyFill="0" applyBorder="0" applyAlignment="0" applyProtection="0"/>
    <xf numFmtId="49" fontId="50" fillId="0" borderId="0" applyFill="0" applyBorder="0" applyAlignment="0"/>
    <xf numFmtId="197" fontId="41" fillId="0" borderId="0" applyFill="0" applyBorder="0" applyAlignment="0"/>
    <xf numFmtId="198" fontId="41" fillId="0" borderId="0" applyFill="0" applyBorder="0" applyAlignment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183" fontId="76" fillId="0" borderId="9" applyNumberFormat="0" applyFill="0" applyAlignment="0" applyProtection="0"/>
    <xf numFmtId="183" fontId="77" fillId="0" borderId="10" applyNumberFormat="0" applyFill="0" applyAlignment="0" applyProtection="0"/>
    <xf numFmtId="183" fontId="78" fillId="0" borderId="11" applyNumberFormat="0" applyFill="0" applyAlignment="0" applyProtection="0"/>
    <xf numFmtId="183" fontId="78" fillId="0" borderId="0" applyNumberFormat="0" applyFill="0" applyBorder="0" applyAlignment="0" applyProtection="0"/>
    <xf numFmtId="183" fontId="26" fillId="0" borderId="0" applyNumberFormat="0" applyFill="0" applyBorder="0" applyAlignment="0" applyProtection="0"/>
    <xf numFmtId="0" fontId="11" fillId="0" borderId="0">
      <alignment horizontal="center" vertical="center"/>
    </xf>
    <xf numFmtId="0" fontId="8" fillId="0" borderId="0">
      <alignment horizontal="center" vertical="center"/>
    </xf>
    <xf numFmtId="0" fontId="79" fillId="0" borderId="0" applyNumberFormat="0" applyFill="0" applyBorder="0" applyAlignment="0" applyProtection="0"/>
    <xf numFmtId="0" fontId="80" fillId="0" borderId="36" applyNumberFormat="0" applyFill="0" applyAlignment="0" applyProtection="0"/>
    <xf numFmtId="0" fontId="81" fillId="0" borderId="37" applyNumberFormat="0" applyFill="0" applyAlignment="0" applyProtection="0"/>
    <xf numFmtId="0" fontId="52" fillId="0" borderId="38" applyNumberFormat="0" applyFill="0" applyAlignment="0" applyProtection="0"/>
    <xf numFmtId="0" fontId="79" fillId="0" borderId="0" applyNumberFormat="0" applyFill="0" applyBorder="0" applyAlignment="0" applyProtection="0"/>
    <xf numFmtId="0" fontId="51" fillId="0" borderId="39" applyNumberFormat="0" applyFill="0" applyAlignment="0" applyProtection="0"/>
    <xf numFmtId="183" fontId="82" fillId="0" borderId="17" applyNumberFormat="0" applyFill="0" applyAlignment="0" applyProtection="0"/>
    <xf numFmtId="199" fontId="41" fillId="0" borderId="0">
      <alignment horizontal="left"/>
    </xf>
    <xf numFmtId="0" fontId="83" fillId="0" borderId="0">
      <alignment vertical="top"/>
    </xf>
    <xf numFmtId="200" fontId="6" fillId="0" borderId="40" applyFont="0" applyFill="0" applyBorder="0" applyAlignment="0" applyProtection="0">
      <alignment horizontal="right"/>
      <protection locked="0"/>
    </xf>
    <xf numFmtId="183" fontId="84" fillId="7" borderId="0" applyNumberFormat="0" applyBorder="0" applyAlignment="0" applyProtection="0"/>
    <xf numFmtId="183" fontId="85" fillId="6" borderId="0" applyNumberFormat="0" applyBorder="0" applyAlignment="0" applyProtection="0"/>
    <xf numFmtId="201" fontId="14" fillId="0" borderId="0" applyFont="0" applyFill="0" applyBorder="0" applyAlignment="0" applyProtection="0"/>
    <xf numFmtId="202" fontId="14" fillId="0" borderId="0" applyFont="0" applyFill="0" applyBorder="0" applyAlignment="0" applyProtection="0"/>
    <xf numFmtId="0" fontId="86" fillId="0" borderId="0" applyNumberForma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03" fillId="16" borderId="0" applyNumberFormat="0" applyBorder="0" applyAlignment="0" applyProtection="0"/>
    <xf numFmtId="0" fontId="103" fillId="20" borderId="0" applyNumberFormat="0" applyBorder="0" applyAlignment="0" applyProtection="0"/>
    <xf numFmtId="0" fontId="103" fillId="24" borderId="0" applyNumberFormat="0" applyBorder="0" applyAlignment="0" applyProtection="0"/>
    <xf numFmtId="0" fontId="103" fillId="28" borderId="0" applyNumberFormat="0" applyBorder="0" applyAlignment="0" applyProtection="0"/>
    <xf numFmtId="0" fontId="103" fillId="32" borderId="0" applyNumberFormat="0" applyBorder="0" applyAlignment="0" applyProtection="0"/>
    <xf numFmtId="0" fontId="103" fillId="36" borderId="0" applyNumberFormat="0" applyBorder="0" applyAlignment="0" applyProtection="0"/>
    <xf numFmtId="0" fontId="98" fillId="10" borderId="12" applyNumberFormat="0" applyAlignment="0" applyProtection="0"/>
    <xf numFmtId="0" fontId="99" fillId="0" borderId="14" applyNumberFormat="0" applyFill="0" applyAlignment="0" applyProtection="0"/>
    <xf numFmtId="0" fontId="100" fillId="11" borderId="15" applyNumberFormat="0" applyAlignment="0" applyProtection="0"/>
    <xf numFmtId="0" fontId="103" fillId="13" borderId="0" applyNumberFormat="0" applyBorder="0" applyAlignment="0" applyProtection="0"/>
    <xf numFmtId="0" fontId="103" fillId="17" borderId="0" applyNumberFormat="0" applyBorder="0" applyAlignment="0" applyProtection="0"/>
    <xf numFmtId="0" fontId="103" fillId="21" borderId="0" applyNumberFormat="0" applyBorder="0" applyAlignment="0" applyProtection="0"/>
    <xf numFmtId="0" fontId="103" fillId="25" borderId="0" applyNumberFormat="0" applyBorder="0" applyAlignment="0" applyProtection="0"/>
    <xf numFmtId="0" fontId="103" fillId="29" borderId="0" applyNumberFormat="0" applyBorder="0" applyAlignment="0" applyProtection="0"/>
    <xf numFmtId="0" fontId="103" fillId="33" borderId="0" applyNumberFormat="0" applyBorder="0" applyAlignment="0" applyProtection="0"/>
    <xf numFmtId="0" fontId="96" fillId="9" borderId="12" applyNumberFormat="0" applyAlignment="0" applyProtection="0"/>
    <xf numFmtId="43" fontId="6" fillId="0" borderId="0" applyFont="0" applyFill="0" applyBorder="0" applyAlignment="0" applyProtection="0"/>
    <xf numFmtId="0" fontId="95" fillId="8" borderId="0" applyNumberFormat="0" applyBorder="0" applyAlignment="0" applyProtection="0"/>
    <xf numFmtId="0" fontId="6" fillId="0" borderId="0"/>
    <xf numFmtId="0" fontId="1" fillId="12" borderId="16" applyNumberFormat="0" applyFont="0" applyAlignment="0" applyProtection="0"/>
    <xf numFmtId="0" fontId="1" fillId="12" borderId="16" applyNumberFormat="0" applyFont="0" applyAlignment="0" applyProtection="0"/>
    <xf numFmtId="0" fontId="97" fillId="10" borderId="13" applyNumberFormat="0" applyAlignment="0" applyProtection="0"/>
    <xf numFmtId="0" fontId="101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90" fillId="0" borderId="9" applyNumberFormat="0" applyFill="0" applyAlignment="0" applyProtection="0"/>
    <xf numFmtId="0" fontId="91" fillId="0" borderId="10" applyNumberFormat="0" applyFill="0" applyAlignment="0" applyProtection="0"/>
    <xf numFmtId="0" fontId="92" fillId="0" borderId="11" applyNumberFormat="0" applyFill="0" applyAlignment="0" applyProtection="0"/>
    <xf numFmtId="0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94" fillId="7" borderId="0" applyNumberFormat="0" applyBorder="0" applyAlignment="0" applyProtection="0"/>
    <xf numFmtId="0" fontId="93" fillId="6" borderId="0" applyNumberFormat="0" applyBorder="0" applyAlignment="0" applyProtection="0"/>
    <xf numFmtId="0" fontId="6" fillId="0" borderId="0"/>
    <xf numFmtId="0" fontId="10" fillId="112" borderId="0"/>
    <xf numFmtId="0" fontId="6" fillId="0" borderId="0"/>
    <xf numFmtId="43" fontId="6" fillId="0" borderId="0" applyFont="0" applyFill="0" applyBorder="0" applyAlignment="0" applyProtection="0"/>
    <xf numFmtId="203" fontId="104" fillId="0" borderId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03" fillId="16" borderId="0" applyNumberFormat="0" applyBorder="0" applyAlignment="0" applyProtection="0"/>
    <xf numFmtId="0" fontId="103" fillId="20" borderId="0" applyNumberFormat="0" applyBorder="0" applyAlignment="0" applyProtection="0"/>
    <xf numFmtId="0" fontId="103" fillId="24" borderId="0" applyNumberFormat="0" applyBorder="0" applyAlignment="0" applyProtection="0"/>
    <xf numFmtId="0" fontId="103" fillId="28" borderId="0" applyNumberFormat="0" applyBorder="0" applyAlignment="0" applyProtection="0"/>
    <xf numFmtId="0" fontId="103" fillId="32" borderId="0" applyNumberFormat="0" applyBorder="0" applyAlignment="0" applyProtection="0"/>
    <xf numFmtId="0" fontId="103" fillId="36" borderId="0" applyNumberFormat="0" applyBorder="0" applyAlignment="0" applyProtection="0"/>
    <xf numFmtId="0" fontId="103" fillId="13" borderId="0" applyNumberFormat="0" applyBorder="0" applyAlignment="0" applyProtection="0"/>
    <xf numFmtId="0" fontId="38" fillId="52" borderId="0" applyNumberFormat="0" applyBorder="0" applyAlignment="0" applyProtection="0"/>
    <xf numFmtId="0" fontId="38" fillId="52" borderId="0" applyNumberFormat="0" applyBorder="0" applyAlignment="0" applyProtection="0"/>
    <xf numFmtId="0" fontId="38" fillId="52" borderId="0" applyNumberFormat="0" applyBorder="0" applyAlignment="0" applyProtection="0"/>
    <xf numFmtId="0" fontId="103" fillId="17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103" fillId="21" borderId="0" applyNumberFormat="0" applyBorder="0" applyAlignment="0" applyProtection="0"/>
    <xf numFmtId="0" fontId="38" fillId="60" borderId="0" applyNumberFormat="0" applyBorder="0" applyAlignment="0" applyProtection="0"/>
    <xf numFmtId="0" fontId="38" fillId="60" borderId="0" applyNumberFormat="0" applyBorder="0" applyAlignment="0" applyProtection="0"/>
    <xf numFmtId="0" fontId="38" fillId="60" borderId="0" applyNumberFormat="0" applyBorder="0" applyAlignment="0" applyProtection="0"/>
    <xf numFmtId="0" fontId="103" fillId="2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38" fillId="65" borderId="0" applyNumberFormat="0" applyBorder="0" applyAlignment="0" applyProtection="0"/>
    <xf numFmtId="0" fontId="103" fillId="29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103" fillId="33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38" fillId="70" borderId="0" applyNumberFormat="0" applyBorder="0" applyAlignment="0" applyProtection="0"/>
    <xf numFmtId="0" fontId="94" fillId="7" borderId="0" applyNumberFormat="0" applyBorder="0" applyAlignment="0" applyProtection="0"/>
    <xf numFmtId="0" fontId="39" fillId="71" borderId="0" applyNumberFormat="0" applyBorder="0" applyAlignment="0" applyProtection="0"/>
    <xf numFmtId="0" fontId="98" fillId="10" borderId="12" applyNumberFormat="0" applyAlignment="0" applyProtection="0"/>
    <xf numFmtId="0" fontId="43" fillId="76" borderId="20" applyNumberFormat="0" applyAlignment="0" applyProtection="0"/>
    <xf numFmtId="0" fontId="100" fillId="11" borderId="15" applyNumberFormat="0" applyAlignment="0" applyProtection="0"/>
    <xf numFmtId="0" fontId="46" fillId="65" borderId="22" applyNumberFormat="0" applyAlignment="0" applyProtection="0"/>
    <xf numFmtId="0" fontId="105" fillId="0" borderId="0" applyNumberFormat="0" applyFill="0" applyBorder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4" fontId="10" fillId="0" borderId="0"/>
    <xf numFmtId="15" fontId="6" fillId="97" borderId="6">
      <alignment horizontal="center"/>
    </xf>
    <xf numFmtId="0" fontId="106" fillId="0" borderId="0" applyNumberFormat="0" applyFill="0" applyBorder="0" applyProtection="0">
      <alignment horizontal="left"/>
    </xf>
    <xf numFmtId="0" fontId="107" fillId="0" borderId="0" applyNumberFormat="0" applyFill="0" applyBorder="0" applyProtection="0">
      <alignment horizontal="right"/>
    </xf>
    <xf numFmtId="0" fontId="102" fillId="0" borderId="0" applyNumberFormat="0" applyFill="0" applyBorder="0" applyAlignment="0" applyProtection="0"/>
    <xf numFmtId="0" fontId="108" fillId="0" borderId="0" applyNumberFormat="0" applyFill="0" applyBorder="0" applyProtection="0">
      <alignment horizontal="right"/>
    </xf>
    <xf numFmtId="0" fontId="93" fillId="6" borderId="0" applyNumberFormat="0" applyBorder="0" applyAlignment="0" applyProtection="0"/>
    <xf numFmtId="0" fontId="36" fillId="62" borderId="0" applyNumberFormat="0" applyBorder="0" applyAlignment="0" applyProtection="0"/>
    <xf numFmtId="204" fontId="6" fillId="97" borderId="42" applyFont="0" applyAlignment="0" applyProtection="0"/>
    <xf numFmtId="0" fontId="90" fillId="0" borderId="9" applyNumberFormat="0" applyFill="0" applyAlignment="0" applyProtection="0"/>
    <xf numFmtId="0" fontId="54" fillId="0" borderId="24" applyNumberFormat="0" applyFill="0" applyAlignment="0" applyProtection="0"/>
    <xf numFmtId="0" fontId="91" fillId="0" borderId="10" applyNumberFormat="0" applyFill="0" applyAlignment="0" applyProtection="0"/>
    <xf numFmtId="0" fontId="55" fillId="0" borderId="25" applyNumberFormat="0" applyFill="0" applyAlignment="0" applyProtection="0"/>
    <xf numFmtId="0" fontId="92" fillId="0" borderId="11" applyNumberFormat="0" applyFill="0" applyAlignment="0" applyProtection="0"/>
    <xf numFmtId="0" fontId="56" fillId="0" borderId="26" applyNumberFormat="0" applyFill="0" applyAlignment="0" applyProtection="0"/>
    <xf numFmtId="0" fontId="92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205" fontId="109" fillId="0" borderId="0" applyNumberFormat="0" applyFill="0" applyBorder="0" applyAlignment="0" applyProtection="0"/>
    <xf numFmtId="0" fontId="53" fillId="43" borderId="21" applyNumberFormat="0" applyAlignment="0" applyProtection="0"/>
    <xf numFmtId="0" fontId="50" fillId="0" borderId="0" applyNumberFormat="0" applyFill="0" applyBorder="0" applyProtection="0">
      <alignment horizontal="left"/>
    </xf>
    <xf numFmtId="0" fontId="99" fillId="0" borderId="14" applyNumberFormat="0" applyFill="0" applyAlignment="0" applyProtection="0"/>
    <xf numFmtId="0" fontId="40" fillId="0" borderId="27" applyNumberFormat="0" applyFill="0" applyAlignment="0" applyProtection="0"/>
    <xf numFmtId="206" fontId="50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40" fillId="72" borderId="0" applyNumberFormat="0" applyBorder="0" applyAlignment="0" applyProtection="0"/>
    <xf numFmtId="0" fontId="1" fillId="0" borderId="0"/>
    <xf numFmtId="0" fontId="1" fillId="12" borderId="16" applyNumberFormat="0" applyFont="0" applyAlignment="0" applyProtection="0"/>
    <xf numFmtId="0" fontId="10" fillId="71" borderId="20" applyNumberFormat="0" applyFont="0" applyAlignment="0" applyProtection="0"/>
    <xf numFmtId="0" fontId="106" fillId="0" borderId="0" applyNumberFormat="0" applyFill="0" applyBorder="0" applyProtection="0">
      <alignment horizontal="left"/>
    </xf>
    <xf numFmtId="0" fontId="65" fillId="77" borderId="31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10" fillId="0" borderId="0" applyFont="0" applyFill="0" applyBorder="0" applyAlignment="0" applyProtection="0"/>
    <xf numFmtId="0" fontId="111" fillId="0" borderId="0" applyNumberFormat="0" applyFill="0" applyBorder="0" applyProtection="0">
      <alignment horizontal="right"/>
    </xf>
    <xf numFmtId="4" fontId="6" fillId="0" borderId="0" applyFont="0" applyFill="0" applyBorder="0" applyProtection="0">
      <alignment horizontal="right"/>
    </xf>
    <xf numFmtId="4" fontId="10" fillId="37" borderId="20" applyNumberFormat="0" applyProtection="0">
      <alignment vertical="center"/>
    </xf>
    <xf numFmtId="4" fontId="10" fillId="37" borderId="20" applyNumberFormat="0" applyProtection="0">
      <alignment vertical="center"/>
    </xf>
    <xf numFmtId="4" fontId="10" fillId="37" borderId="20" applyNumberFormat="0" applyProtection="0">
      <alignment vertical="center"/>
    </xf>
    <xf numFmtId="4" fontId="10" fillId="4" borderId="20" applyNumberFormat="0" applyProtection="0">
      <alignment horizontal="left" vertical="center" indent="1"/>
    </xf>
    <xf numFmtId="4" fontId="10" fillId="4" borderId="20" applyNumberFormat="0" applyProtection="0">
      <alignment horizontal="left" vertical="center" indent="1"/>
    </xf>
    <xf numFmtId="4" fontId="10" fillId="50" borderId="20" applyNumberFormat="0" applyProtection="0">
      <alignment horizontal="left" vertical="center" indent="1"/>
    </xf>
    <xf numFmtId="4" fontId="10" fillId="50" borderId="20" applyNumberFormat="0" applyProtection="0">
      <alignment horizontal="left" vertical="center" indent="1"/>
    </xf>
    <xf numFmtId="4" fontId="10" fillId="0" borderId="20" applyNumberFormat="0" applyProtection="0">
      <alignment horizontal="right" vertical="center"/>
    </xf>
    <xf numFmtId="4" fontId="10" fillId="0" borderId="20" applyNumberFormat="0" applyProtection="0">
      <alignment horizontal="right" vertical="center"/>
    </xf>
    <xf numFmtId="4" fontId="10" fillId="0" borderId="20" applyNumberFormat="0" applyProtection="0">
      <alignment horizontal="right" vertical="center"/>
    </xf>
    <xf numFmtId="4" fontId="10" fillId="50" borderId="20" applyNumberFormat="0" applyProtection="0">
      <alignment horizontal="left" vertical="center" indent="1"/>
    </xf>
    <xf numFmtId="4" fontId="10" fillId="50" borderId="20" applyNumberFormat="0" applyProtection="0">
      <alignment horizontal="left" vertical="center" indent="1"/>
    </xf>
    <xf numFmtId="0" fontId="26" fillId="0" borderId="0" applyNumberFormat="0" applyFill="0" applyBorder="0" applyAlignment="0" applyProtection="0"/>
    <xf numFmtId="0" fontId="2" fillId="0" borderId="17" applyNumberFormat="0" applyFill="0" applyAlignment="0" applyProtection="0"/>
    <xf numFmtId="0" fontId="51" fillId="0" borderId="43" applyNumberFormat="0" applyFill="0" applyAlignment="0" applyProtection="0"/>
    <xf numFmtId="209" fontId="5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12" fillId="0" borderId="0" applyNumberFormat="0" applyFill="0" applyBorder="0" applyAlignment="0" applyProtection="0"/>
    <xf numFmtId="0" fontId="113" fillId="114" borderId="44" applyNumberFormat="0" applyAlignment="0" applyProtection="0"/>
    <xf numFmtId="0" fontId="114" fillId="0" borderId="0" applyNumberFormat="0" applyFill="0" applyBorder="0" applyProtection="0">
      <alignment horizontal="right"/>
    </xf>
    <xf numFmtId="0" fontId="10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50" fillId="105" borderId="0" applyNumberFormat="0" applyBorder="0" applyAlignment="0" applyProtection="0"/>
    <xf numFmtId="0" fontId="50" fillId="105" borderId="0" applyNumberFormat="0" applyBorder="0" applyAlignment="0" applyProtection="0"/>
    <xf numFmtId="0" fontId="50" fillId="104" borderId="0" applyNumberFormat="0" applyBorder="0" applyAlignment="0" applyProtection="0"/>
    <xf numFmtId="0" fontId="50" fillId="104" borderId="0" applyNumberFormat="0" applyBorder="0" applyAlignment="0" applyProtection="0"/>
    <xf numFmtId="0" fontId="50" fillId="101" borderId="0" applyNumberFormat="0" applyBorder="0" applyAlignment="0" applyProtection="0"/>
    <xf numFmtId="0" fontId="50" fillId="101" borderId="0" applyNumberFormat="0" applyBorder="0" applyAlignment="0" applyProtection="0"/>
    <xf numFmtId="0" fontId="50" fillId="115" borderId="0" applyNumberFormat="0" applyBorder="0" applyAlignment="0" applyProtection="0"/>
    <xf numFmtId="0" fontId="50" fillId="115" borderId="0" applyNumberFormat="0" applyBorder="0" applyAlignment="0" applyProtection="0"/>
    <xf numFmtId="0" fontId="50" fillId="105" borderId="0" applyNumberFormat="0" applyBorder="0" applyAlignment="0" applyProtection="0"/>
    <xf numFmtId="0" fontId="50" fillId="105" borderId="0" applyNumberFormat="0" applyBorder="0" applyAlignment="0" applyProtection="0"/>
    <xf numFmtId="0" fontId="50" fillId="43" borderId="0" applyNumberFormat="0" applyBorder="0" applyAlignment="0" applyProtection="0"/>
    <xf numFmtId="0" fontId="50" fillId="4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50" fillId="77" borderId="0" applyNumberFormat="0" applyBorder="0" applyAlignment="0" applyProtection="0"/>
    <xf numFmtId="0" fontId="50" fillId="77" borderId="0" applyNumberFormat="0" applyBorder="0" applyAlignment="0" applyProtection="0"/>
    <xf numFmtId="0" fontId="50" fillId="104" borderId="0" applyNumberFormat="0" applyBorder="0" applyAlignment="0" applyProtection="0"/>
    <xf numFmtId="0" fontId="50" fillId="104" borderId="0" applyNumberFormat="0" applyBorder="0" applyAlignment="0" applyProtection="0"/>
    <xf numFmtId="0" fontId="50" fillId="90" borderId="0" applyNumberFormat="0" applyBorder="0" applyAlignment="0" applyProtection="0"/>
    <xf numFmtId="0" fontId="50" fillId="116" borderId="0" applyNumberFormat="0" applyBorder="0" applyAlignment="0" applyProtection="0"/>
    <xf numFmtId="0" fontId="50" fillId="116" borderId="0" applyNumberFormat="0" applyBorder="0" applyAlignment="0" applyProtection="0"/>
    <xf numFmtId="0" fontId="50" fillId="103" borderId="0" applyNumberFormat="0" applyBorder="0" applyAlignment="0" applyProtection="0"/>
    <xf numFmtId="0" fontId="50" fillId="4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16" fillId="117" borderId="0" applyNumberFormat="0" applyBorder="0" applyAlignment="0" applyProtection="0"/>
    <xf numFmtId="0" fontId="116" fillId="117" borderId="0" applyNumberFormat="0" applyBorder="0" applyAlignment="0" applyProtection="0"/>
    <xf numFmtId="0" fontId="116" fillId="104" borderId="0" applyNumberFormat="0" applyBorder="0" applyAlignment="0" applyProtection="0"/>
    <xf numFmtId="0" fontId="116" fillId="104" borderId="0" applyNumberFormat="0" applyBorder="0" applyAlignment="0" applyProtection="0"/>
    <xf numFmtId="0" fontId="116" fillId="90" borderId="0" applyNumberFormat="0" applyBorder="0" applyAlignment="0" applyProtection="0"/>
    <xf numFmtId="0" fontId="116" fillId="116" borderId="0" applyNumberFormat="0" applyBorder="0" applyAlignment="0" applyProtection="0"/>
    <xf numFmtId="0" fontId="116" fillId="116" borderId="0" applyNumberFormat="0" applyBorder="0" applyAlignment="0" applyProtection="0"/>
    <xf numFmtId="0" fontId="116" fillId="117" borderId="0" applyNumberFormat="0" applyBorder="0" applyAlignment="0" applyProtection="0"/>
    <xf numFmtId="0" fontId="116" fillId="117" borderId="0" applyNumberFormat="0" applyBorder="0" applyAlignment="0" applyProtection="0"/>
    <xf numFmtId="0" fontId="116" fillId="47" borderId="0" applyNumberFormat="0" applyBorder="0" applyAlignment="0" applyProtection="0"/>
    <xf numFmtId="0" fontId="116" fillId="47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86" borderId="0" applyNumberFormat="0" applyBorder="0" applyAlignment="0" applyProtection="0"/>
    <xf numFmtId="0" fontId="36" fillId="86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118" borderId="0" applyNumberFormat="0" applyBorder="0" applyAlignment="0" applyProtection="0"/>
    <xf numFmtId="0" fontId="38" fillId="118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119" borderId="0" applyNumberFormat="0" applyBorder="0" applyAlignment="0" applyProtection="0"/>
    <xf numFmtId="0" fontId="36" fillId="119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59" borderId="0" applyNumberFormat="0" applyBorder="0" applyAlignment="0" applyProtection="0"/>
    <xf numFmtId="0" fontId="38" fillId="64" borderId="0" applyNumberFormat="0" applyBorder="0" applyAlignment="0" applyProtection="0"/>
    <xf numFmtId="0" fontId="38" fillId="64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8" fillId="63" borderId="0" applyNumberFormat="0" applyBorder="0" applyAlignment="0" applyProtection="0"/>
    <xf numFmtId="0" fontId="38" fillId="63" borderId="0" applyNumberFormat="0" applyBorder="0" applyAlignment="0" applyProtection="0"/>
    <xf numFmtId="0" fontId="38" fillId="54" borderId="0" applyNumberFormat="0" applyBorder="0" applyAlignment="0" applyProtection="0"/>
    <xf numFmtId="0" fontId="38" fillId="54" borderId="0" applyNumberFormat="0" applyBorder="0" applyAlignment="0" applyProtection="0"/>
    <xf numFmtId="0" fontId="38" fillId="64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8" fillId="58" borderId="0" applyNumberFormat="0" applyBorder="0" applyAlignment="0" applyProtection="0"/>
    <xf numFmtId="0" fontId="38" fillId="58" borderId="0" applyNumberFormat="0" applyBorder="0" applyAlignment="0" applyProtection="0"/>
    <xf numFmtId="0" fontId="38" fillId="54" borderId="0" applyNumberFormat="0" applyBorder="0" applyAlignment="0" applyProtection="0"/>
    <xf numFmtId="0" fontId="38" fillId="54" borderId="0" applyNumberFormat="0" applyBorder="0" applyAlignment="0" applyProtection="0"/>
    <xf numFmtId="0" fontId="38" fillId="66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86" borderId="0" applyNumberFormat="0" applyBorder="0" applyAlignment="0" applyProtection="0"/>
    <xf numFmtId="0" fontId="36" fillId="86" borderId="0" applyNumberFormat="0" applyBorder="0" applyAlignment="0" applyProtection="0"/>
    <xf numFmtId="0" fontId="38" fillId="55" borderId="0" applyNumberFormat="0" applyBorder="0" applyAlignment="0" applyProtection="0"/>
    <xf numFmtId="0" fontId="38" fillId="55" borderId="0" applyNumberFormat="0" applyBorder="0" applyAlignment="0" applyProtection="0"/>
    <xf numFmtId="0" fontId="38" fillId="68" borderId="0" applyNumberFormat="0" applyBorder="0" applyAlignment="0" applyProtection="0"/>
    <xf numFmtId="0" fontId="38" fillId="68" borderId="0" applyNumberFormat="0" applyBorder="0" applyAlignment="0" applyProtection="0"/>
    <xf numFmtId="0" fontId="38" fillId="69" borderId="0" applyNumberFormat="0" applyBorder="0" applyAlignment="0" applyProtection="0"/>
    <xf numFmtId="0" fontId="36" fillId="72" borderId="0" applyNumberFormat="0" applyBorder="0" applyAlignment="0" applyProtection="0"/>
    <xf numFmtId="0" fontId="36" fillId="72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8" fillId="73" borderId="0" applyNumberFormat="0" applyBorder="0" applyAlignment="0" applyProtection="0"/>
    <xf numFmtId="0" fontId="38" fillId="73" borderId="0" applyNumberFormat="0" applyBorder="0" applyAlignment="0" applyProtection="0"/>
    <xf numFmtId="0" fontId="38" fillId="72" borderId="0" applyNumberFormat="0" applyBorder="0" applyAlignment="0" applyProtection="0"/>
    <xf numFmtId="0" fontId="38" fillId="72" borderId="0" applyNumberFormat="0" applyBorder="0" applyAlignment="0" applyProtection="0"/>
    <xf numFmtId="0" fontId="38" fillId="74" borderId="0" applyNumberFormat="0" applyBorder="0" applyAlignment="0" applyProtection="0"/>
    <xf numFmtId="0" fontId="39" fillId="71" borderId="0" applyNumberFormat="0" applyBorder="0" applyAlignment="0" applyProtection="0"/>
    <xf numFmtId="0" fontId="43" fillId="76" borderId="20" applyNumberFormat="0" applyAlignment="0" applyProtection="0"/>
    <xf numFmtId="0" fontId="46" fillId="65" borderId="22" applyNumberFormat="0" applyAlignment="0" applyProtection="0"/>
    <xf numFmtId="0" fontId="51" fillId="80" borderId="0" applyNumberFormat="0" applyBorder="0" applyAlignment="0" applyProtection="0"/>
    <xf numFmtId="0" fontId="51" fillId="80" borderId="0" applyNumberFormat="0" applyBorder="0" applyAlignment="0" applyProtection="0"/>
    <xf numFmtId="0" fontId="51" fillId="120" borderId="0" applyNumberFormat="0" applyBorder="0" applyAlignment="0" applyProtection="0"/>
    <xf numFmtId="0" fontId="51" fillId="120" borderId="0" applyNumberFormat="0" applyBorder="0" applyAlignment="0" applyProtection="0"/>
    <xf numFmtId="0" fontId="51" fillId="81" borderId="0" applyNumberFormat="0" applyBorder="0" applyAlignment="0" applyProtection="0"/>
    <xf numFmtId="0" fontId="51" fillId="81" borderId="0" applyNumberFormat="0" applyBorder="0" applyAlignment="0" applyProtection="0"/>
    <xf numFmtId="0" fontId="51" fillId="121" borderId="0" applyNumberFormat="0" applyBorder="0" applyAlignment="0" applyProtection="0"/>
    <xf numFmtId="0" fontId="51" fillId="121" borderId="0" applyNumberFormat="0" applyBorder="0" applyAlignment="0" applyProtection="0"/>
    <xf numFmtId="0" fontId="117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6" fillId="62" borderId="0" applyNumberFormat="0" applyBorder="0" applyAlignment="0" applyProtection="0"/>
    <xf numFmtId="0" fontId="55" fillId="0" borderId="25" applyNumberFormat="0" applyFill="0" applyAlignment="0" applyProtection="0"/>
    <xf numFmtId="0" fontId="56" fillId="0" borderId="26" applyNumberFormat="0" applyFill="0" applyAlignment="0" applyProtection="0"/>
    <xf numFmtId="0" fontId="118" fillId="72" borderId="20" applyNumberFormat="0" applyAlignment="0" applyProtection="0"/>
    <xf numFmtId="0" fontId="118" fillId="72" borderId="21" applyNumberFormat="0" applyAlignment="0" applyProtection="0"/>
    <xf numFmtId="0" fontId="96" fillId="9" borderId="12" applyNumberFormat="0" applyAlignment="0" applyProtection="0"/>
    <xf numFmtId="0" fontId="118" fillId="72" borderId="20" applyNumberFormat="0" applyAlignment="0" applyProtection="0"/>
    <xf numFmtId="0" fontId="118" fillId="72" borderId="21" applyNumberFormat="0" applyAlignment="0" applyProtection="0"/>
    <xf numFmtId="0" fontId="96" fillId="9" borderId="12" applyNumberFormat="0" applyAlignment="0" applyProtection="0"/>
    <xf numFmtId="0" fontId="40" fillId="0" borderId="27" applyNumberFormat="0" applyFill="0" applyAlignment="0" applyProtection="0"/>
    <xf numFmtId="206" fontId="6" fillId="0" borderId="0" applyFont="0" applyFill="0" applyBorder="0" applyAlignment="0" applyProtection="0"/>
    <xf numFmtId="211" fontId="1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211" fontId="6" fillId="0" borderId="0" applyFont="0" applyFill="0" applyBorder="0" applyAlignment="0" applyProtection="0"/>
    <xf numFmtId="0" fontId="40" fillId="72" borderId="0" applyNumberFormat="0" applyBorder="0" applyAlignment="0" applyProtection="0"/>
    <xf numFmtId="0" fontId="6" fillId="0" borderId="0"/>
    <xf numFmtId="0" fontId="6" fillId="0" borderId="0"/>
    <xf numFmtId="0" fontId="119" fillId="0" borderId="0"/>
    <xf numFmtId="0" fontId="1" fillId="0" borderId="0"/>
    <xf numFmtId="0" fontId="10" fillId="112" borderId="0"/>
    <xf numFmtId="0" fontId="1" fillId="0" borderId="0"/>
    <xf numFmtId="0" fontId="1" fillId="0" borderId="0"/>
    <xf numFmtId="0" fontId="10" fillId="112" borderId="0"/>
    <xf numFmtId="0" fontId="10" fillId="71" borderId="20" applyNumberFormat="0" applyFont="0" applyAlignment="0" applyProtection="0"/>
    <xf numFmtId="0" fontId="1" fillId="12" borderId="16" applyNumberFormat="0" applyFont="0" applyAlignment="0" applyProtection="0"/>
    <xf numFmtId="0" fontId="10" fillId="71" borderId="20" applyNumberFormat="0" applyFont="0" applyAlignment="0" applyProtection="0"/>
    <xf numFmtId="0" fontId="10" fillId="71" borderId="20" applyNumberFormat="0" applyFont="0" applyAlignment="0" applyProtection="0"/>
    <xf numFmtId="0" fontId="65" fillId="76" borderId="31" applyNumberFormat="0" applyAlignment="0" applyProtection="0"/>
    <xf numFmtId="0" fontId="65" fillId="78" borderId="31" applyNumberFormat="0" applyAlignment="0" applyProtection="0"/>
    <xf numFmtId="0" fontId="97" fillId="10" borderId="13" applyNumberFormat="0" applyAlignment="0" applyProtection="0"/>
    <xf numFmtId="0" fontId="65" fillId="76" borderId="31" applyNumberFormat="0" applyAlignment="0" applyProtection="0"/>
    <xf numFmtId="0" fontId="65" fillId="78" borderId="31" applyNumberFormat="0" applyAlignment="0" applyProtection="0"/>
    <xf numFmtId="0" fontId="97" fillId="10" borderId="13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4" fontId="66" fillId="4" borderId="20" applyNumberFormat="0" applyProtection="0">
      <alignment vertical="center"/>
    </xf>
    <xf numFmtId="4" fontId="66" fillId="4" borderId="20" applyNumberFormat="0" applyProtection="0">
      <alignment vertical="center"/>
    </xf>
    <xf numFmtId="4" fontId="120" fillId="37" borderId="32" applyNumberFormat="0" applyProtection="0">
      <alignment vertical="center"/>
    </xf>
    <xf numFmtId="4" fontId="120" fillId="37" borderId="32" applyNumberFormat="0" applyProtection="0">
      <alignment vertical="center"/>
    </xf>
    <xf numFmtId="0" fontId="67" fillId="37" borderId="32" applyNumberFormat="0" applyProtection="0">
      <alignment horizontal="left" vertical="top" indent="1"/>
    </xf>
    <xf numFmtId="0" fontId="67" fillId="37" borderId="32" applyNumberFormat="0" applyProtection="0">
      <alignment horizontal="left" vertical="top" indent="1"/>
    </xf>
    <xf numFmtId="0" fontId="121" fillId="37" borderId="32" applyNumberFormat="0" applyProtection="0">
      <alignment horizontal="left" vertical="top" indent="1"/>
    </xf>
    <xf numFmtId="0" fontId="121" fillId="37" borderId="32" applyNumberFormat="0" applyProtection="0">
      <alignment horizontal="left" vertical="top" indent="1"/>
    </xf>
    <xf numFmtId="4" fontId="10" fillId="50" borderId="20" applyNumberFormat="0" applyProtection="0">
      <alignment horizontal="left" vertical="center" indent="1"/>
    </xf>
    <xf numFmtId="4" fontId="10" fillId="39" borderId="20" applyNumberFormat="0" applyProtection="0">
      <alignment horizontal="right" vertical="center"/>
    </xf>
    <xf numFmtId="4" fontId="50" fillId="39" borderId="32" applyNumberFormat="0" applyProtection="0">
      <alignment horizontal="right" vertical="center"/>
    </xf>
    <xf numFmtId="4" fontId="10" fillId="100" borderId="20" applyNumberFormat="0" applyProtection="0">
      <alignment horizontal="right" vertical="center"/>
    </xf>
    <xf numFmtId="4" fontId="50" fillId="45" borderId="32" applyNumberFormat="0" applyProtection="0">
      <alignment horizontal="right" vertical="center"/>
    </xf>
    <xf numFmtId="4" fontId="10" fillId="88" borderId="33" applyNumberFormat="0" applyProtection="0">
      <alignment horizontal="right" vertical="center"/>
    </xf>
    <xf numFmtId="4" fontId="50" fillId="88" borderId="32" applyNumberFormat="0" applyProtection="0">
      <alignment horizontal="right" vertical="center"/>
    </xf>
    <xf numFmtId="4" fontId="10" fillId="47" borderId="20" applyNumberFormat="0" applyProtection="0">
      <alignment horizontal="right" vertical="center"/>
    </xf>
    <xf numFmtId="4" fontId="50" fillId="47" borderId="32" applyNumberFormat="0" applyProtection="0">
      <alignment horizontal="right" vertical="center"/>
    </xf>
    <xf numFmtId="4" fontId="10" fillId="51" borderId="20" applyNumberFormat="0" applyProtection="0">
      <alignment horizontal="right" vertical="center"/>
    </xf>
    <xf numFmtId="4" fontId="50" fillId="51" borderId="32" applyNumberFormat="0" applyProtection="0">
      <alignment horizontal="right" vertical="center"/>
    </xf>
    <xf numFmtId="4" fontId="10" fillId="94" borderId="20" applyNumberFormat="0" applyProtection="0">
      <alignment horizontal="right" vertical="center"/>
    </xf>
    <xf numFmtId="4" fontId="50" fillId="94" borderId="32" applyNumberFormat="0" applyProtection="0">
      <alignment horizontal="right" vertical="center"/>
    </xf>
    <xf numFmtId="4" fontId="10" fillId="90" borderId="20" applyNumberFormat="0" applyProtection="0">
      <alignment horizontal="right" vertical="center"/>
    </xf>
    <xf numFmtId="4" fontId="50" fillId="90" borderId="32" applyNumberFormat="0" applyProtection="0">
      <alignment horizontal="right" vertical="center"/>
    </xf>
    <xf numFmtId="4" fontId="10" fillId="101" borderId="20" applyNumberFormat="0" applyProtection="0">
      <alignment horizontal="right" vertical="center"/>
    </xf>
    <xf numFmtId="4" fontId="50" fillId="101" borderId="32" applyNumberFormat="0" applyProtection="0">
      <alignment horizontal="right" vertical="center"/>
    </xf>
    <xf numFmtId="4" fontId="10" fillId="46" borderId="20" applyNumberFormat="0" applyProtection="0">
      <alignment horizontal="right" vertical="center"/>
    </xf>
    <xf numFmtId="4" fontId="50" fillId="46" borderId="32" applyNumberFormat="0" applyProtection="0">
      <alignment horizontal="right" vertical="center"/>
    </xf>
    <xf numFmtId="4" fontId="10" fillId="102" borderId="33" applyNumberFormat="0" applyProtection="0">
      <alignment horizontal="left" vertical="center" indent="1"/>
    </xf>
    <xf numFmtId="4" fontId="121" fillId="102" borderId="45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50" fillId="105" borderId="0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50" fillId="105" borderId="0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122" fillId="103" borderId="0" applyNumberFormat="0" applyProtection="0">
      <alignment horizontal="left" vertical="center" indent="1"/>
    </xf>
    <xf numFmtId="4" fontId="6" fillId="103" borderId="33" applyNumberFormat="0" applyProtection="0">
      <alignment horizontal="left" vertical="center" indent="1"/>
    </xf>
    <xf numFmtId="4" fontId="122" fillId="103" borderId="0" applyNumberFormat="0" applyProtection="0">
      <alignment horizontal="left" vertical="center" indent="1"/>
    </xf>
    <xf numFmtId="4" fontId="10" fillId="104" borderId="20" applyNumberFormat="0" applyProtection="0">
      <alignment horizontal="right" vertical="center"/>
    </xf>
    <xf numFmtId="4" fontId="50" fillId="104" borderId="32" applyNumberFormat="0" applyProtection="0">
      <alignment horizontal="right" vertical="center"/>
    </xf>
    <xf numFmtId="4" fontId="10" fillId="105" borderId="33" applyNumberFormat="0" applyProtection="0">
      <alignment horizontal="left" vertical="center" indent="1"/>
    </xf>
    <xf numFmtId="4" fontId="50" fillId="105" borderId="0" applyNumberFormat="0" applyProtection="0">
      <alignment horizontal="left" vertical="center" indent="1"/>
    </xf>
    <xf numFmtId="4" fontId="50" fillId="105" borderId="0" applyNumberFormat="0" applyProtection="0">
      <alignment horizontal="left" vertical="center" indent="1"/>
    </xf>
    <xf numFmtId="4" fontId="10" fillId="104" borderId="33" applyNumberFormat="0" applyProtection="0">
      <alignment horizontal="left" vertical="center" indent="1"/>
    </xf>
    <xf numFmtId="4" fontId="50" fillId="104" borderId="0" applyNumberFormat="0" applyProtection="0">
      <alignment horizontal="left" vertical="center" indent="1"/>
    </xf>
    <xf numFmtId="4" fontId="50" fillId="104" borderId="0" applyNumberFormat="0" applyProtection="0">
      <alignment horizontal="left" vertical="center" indent="1"/>
    </xf>
    <xf numFmtId="0" fontId="10" fillId="77" borderId="20" applyNumberFormat="0" applyProtection="0">
      <alignment horizontal="left" vertical="center" indent="1"/>
    </xf>
    <xf numFmtId="0" fontId="6" fillId="103" borderId="32" applyNumberFormat="0" applyProtection="0">
      <alignment horizontal="left" vertical="center" indent="1"/>
    </xf>
    <xf numFmtId="0" fontId="6" fillId="103" borderId="32" applyNumberFormat="0" applyProtection="0">
      <alignment horizontal="left" vertical="center" indent="1"/>
    </xf>
    <xf numFmtId="0" fontId="10" fillId="103" borderId="32" applyNumberFormat="0" applyProtection="0">
      <alignment horizontal="left" vertical="top" indent="1"/>
    </xf>
    <xf numFmtId="0" fontId="10" fillId="103" borderId="32" applyNumberFormat="0" applyProtection="0">
      <alignment horizontal="left" vertical="top" indent="1"/>
    </xf>
    <xf numFmtId="0" fontId="6" fillId="103" borderId="32" applyNumberFormat="0" applyProtection="0">
      <alignment horizontal="left" vertical="top" indent="1"/>
    </xf>
    <xf numFmtId="0" fontId="10" fillId="103" borderId="32" applyNumberFormat="0" applyProtection="0">
      <alignment horizontal="left" vertical="top" indent="1"/>
    </xf>
    <xf numFmtId="0" fontId="6" fillId="103" borderId="32" applyNumberFormat="0" applyProtection="0">
      <alignment horizontal="left" vertical="top" indent="1"/>
    </xf>
    <xf numFmtId="0" fontId="10" fillId="103" borderId="32" applyNumberFormat="0" applyProtection="0">
      <alignment horizontal="left" vertical="top" indent="1"/>
    </xf>
    <xf numFmtId="0" fontId="10" fillId="103" borderId="32" applyNumberFormat="0" applyProtection="0">
      <alignment horizontal="left" vertical="top" indent="1"/>
    </xf>
    <xf numFmtId="0" fontId="10" fillId="106" borderId="20" applyNumberFormat="0" applyProtection="0">
      <alignment horizontal="left" vertical="center" indent="1"/>
    </xf>
    <xf numFmtId="0" fontId="6" fillId="104" borderId="32" applyNumberFormat="0" applyProtection="0">
      <alignment horizontal="left" vertical="center" indent="1"/>
    </xf>
    <xf numFmtId="0" fontId="6" fillId="104" borderId="32" applyNumberFormat="0" applyProtection="0">
      <alignment horizontal="left" vertical="center" indent="1"/>
    </xf>
    <xf numFmtId="0" fontId="10" fillId="104" borderId="32" applyNumberFormat="0" applyProtection="0">
      <alignment horizontal="left" vertical="top" indent="1"/>
    </xf>
    <xf numFmtId="0" fontId="10" fillId="104" borderId="32" applyNumberFormat="0" applyProtection="0">
      <alignment horizontal="left" vertical="top" indent="1"/>
    </xf>
    <xf numFmtId="0" fontId="6" fillId="104" borderId="32" applyNumberFormat="0" applyProtection="0">
      <alignment horizontal="left" vertical="top" indent="1"/>
    </xf>
    <xf numFmtId="0" fontId="10" fillId="104" borderId="32" applyNumberFormat="0" applyProtection="0">
      <alignment horizontal="left" vertical="top" indent="1"/>
    </xf>
    <xf numFmtId="0" fontId="6" fillId="104" borderId="32" applyNumberFormat="0" applyProtection="0">
      <alignment horizontal="left" vertical="top" indent="1"/>
    </xf>
    <xf numFmtId="0" fontId="10" fillId="104" borderId="32" applyNumberFormat="0" applyProtection="0">
      <alignment horizontal="left" vertical="top" indent="1"/>
    </xf>
    <xf numFmtId="0" fontId="10" fillId="104" borderId="32" applyNumberFormat="0" applyProtection="0">
      <alignment horizontal="left" vertical="top" indent="1"/>
    </xf>
    <xf numFmtId="0" fontId="10" fillId="44" borderId="20" applyNumberFormat="0" applyProtection="0">
      <alignment horizontal="left" vertical="center" indent="1"/>
    </xf>
    <xf numFmtId="0" fontId="6" fillId="44" borderId="32" applyNumberFormat="0" applyProtection="0">
      <alignment horizontal="left" vertical="center" indent="1"/>
    </xf>
    <xf numFmtId="0" fontId="6" fillId="44" borderId="32" applyNumberFormat="0" applyProtection="0">
      <alignment horizontal="left" vertical="center" indent="1"/>
    </xf>
    <xf numFmtId="0" fontId="10" fillId="44" borderId="32" applyNumberFormat="0" applyProtection="0">
      <alignment horizontal="left" vertical="top" indent="1"/>
    </xf>
    <xf numFmtId="0" fontId="10" fillId="44" borderId="32" applyNumberFormat="0" applyProtection="0">
      <alignment horizontal="left" vertical="top" indent="1"/>
    </xf>
    <xf numFmtId="0" fontId="6" fillId="44" borderId="32" applyNumberFormat="0" applyProtection="0">
      <alignment horizontal="left" vertical="top" indent="1"/>
    </xf>
    <xf numFmtId="0" fontId="10" fillId="44" borderId="32" applyNumberFormat="0" applyProtection="0">
      <alignment horizontal="left" vertical="top" indent="1"/>
    </xf>
    <xf numFmtId="0" fontId="6" fillId="44" borderId="32" applyNumberFormat="0" applyProtection="0">
      <alignment horizontal="left" vertical="top" indent="1"/>
    </xf>
    <xf numFmtId="0" fontId="10" fillId="44" borderId="32" applyNumberFormat="0" applyProtection="0">
      <alignment horizontal="left" vertical="top" indent="1"/>
    </xf>
    <xf numFmtId="0" fontId="10" fillId="44" borderId="32" applyNumberFormat="0" applyProtection="0">
      <alignment horizontal="left" vertical="top" indent="1"/>
    </xf>
    <xf numFmtId="0" fontId="10" fillId="105" borderId="20" applyNumberFormat="0" applyProtection="0">
      <alignment horizontal="left" vertical="center" indent="1"/>
    </xf>
    <xf numFmtId="0" fontId="6" fillId="105" borderId="32" applyNumberFormat="0" applyProtection="0">
      <alignment horizontal="left" vertical="center" indent="1"/>
    </xf>
    <xf numFmtId="0" fontId="6" fillId="105" borderId="32" applyNumberFormat="0" applyProtection="0">
      <alignment horizontal="left" vertical="center" indent="1"/>
    </xf>
    <xf numFmtId="0" fontId="10" fillId="105" borderId="32" applyNumberFormat="0" applyProtection="0">
      <alignment horizontal="left" vertical="top" indent="1"/>
    </xf>
    <xf numFmtId="0" fontId="10" fillId="105" borderId="32" applyNumberFormat="0" applyProtection="0">
      <alignment horizontal="left" vertical="top" indent="1"/>
    </xf>
    <xf numFmtId="0" fontId="6" fillId="105" borderId="32" applyNumberFormat="0" applyProtection="0">
      <alignment horizontal="left" vertical="top" indent="1"/>
    </xf>
    <xf numFmtId="0" fontId="10" fillId="105" borderId="32" applyNumberFormat="0" applyProtection="0">
      <alignment horizontal="left" vertical="top" indent="1"/>
    </xf>
    <xf numFmtId="0" fontId="6" fillId="105" borderId="32" applyNumberFormat="0" applyProtection="0">
      <alignment horizontal="left" vertical="top" indent="1"/>
    </xf>
    <xf numFmtId="0" fontId="10" fillId="105" borderId="32" applyNumberFormat="0" applyProtection="0">
      <alignment horizontal="left" vertical="top" indent="1"/>
    </xf>
    <xf numFmtId="0" fontId="10" fillId="105" borderId="32" applyNumberFormat="0" applyProtection="0">
      <alignment horizontal="left" vertical="top" indent="1"/>
    </xf>
    <xf numFmtId="0" fontId="10" fillId="107" borderId="34" applyNumberFormat="0">
      <protection locked="0"/>
    </xf>
    <xf numFmtId="0" fontId="10" fillId="107" borderId="34" applyNumberFormat="0">
      <protection locked="0"/>
    </xf>
    <xf numFmtId="0" fontId="6" fillId="107" borderId="6" applyNumberFormat="0">
      <protection locked="0"/>
    </xf>
    <xf numFmtId="0" fontId="10" fillId="107" borderId="34" applyNumberFormat="0">
      <protection locked="0"/>
    </xf>
    <xf numFmtId="0" fontId="6" fillId="107" borderId="6" applyNumberFormat="0">
      <protection locked="0"/>
    </xf>
    <xf numFmtId="0" fontId="10" fillId="107" borderId="34" applyNumberFormat="0">
      <protection locked="0"/>
    </xf>
    <xf numFmtId="0" fontId="10" fillId="107" borderId="34" applyNumberFormat="0">
      <protection locked="0"/>
    </xf>
    <xf numFmtId="4" fontId="68" fillId="99" borderId="32" applyNumberFormat="0" applyProtection="0">
      <alignment vertical="center"/>
    </xf>
    <xf numFmtId="4" fontId="68" fillId="99" borderId="32" applyNumberFormat="0" applyProtection="0">
      <alignment vertical="center"/>
    </xf>
    <xf numFmtId="4" fontId="50" fillId="99" borderId="32" applyNumberFormat="0" applyProtection="0">
      <alignment vertical="center"/>
    </xf>
    <xf numFmtId="4" fontId="50" fillId="99" borderId="32" applyNumberFormat="0" applyProtection="0">
      <alignment vertical="center"/>
    </xf>
    <xf numFmtId="4" fontId="66" fillId="97" borderId="6" applyNumberFormat="0" applyProtection="0">
      <alignment vertical="center"/>
    </xf>
    <xf numFmtId="4" fontId="66" fillId="97" borderId="6" applyNumberFormat="0" applyProtection="0">
      <alignment vertical="center"/>
    </xf>
    <xf numFmtId="4" fontId="123" fillId="99" borderId="32" applyNumberFormat="0" applyProtection="0">
      <alignment vertical="center"/>
    </xf>
    <xf numFmtId="4" fontId="123" fillId="99" borderId="32" applyNumberFormat="0" applyProtection="0">
      <alignment vertical="center"/>
    </xf>
    <xf numFmtId="4" fontId="68" fillId="77" borderId="32" applyNumberFormat="0" applyProtection="0">
      <alignment horizontal="left" vertical="center" indent="1"/>
    </xf>
    <xf numFmtId="4" fontId="68" fillId="77" borderId="32" applyNumberFormat="0" applyProtection="0">
      <alignment horizontal="left" vertical="center" indent="1"/>
    </xf>
    <xf numFmtId="4" fontId="50" fillId="99" borderId="32" applyNumberFormat="0" applyProtection="0">
      <alignment horizontal="left" vertical="center" indent="1"/>
    </xf>
    <xf numFmtId="4" fontId="50" fillId="99" borderId="32" applyNumberFormat="0" applyProtection="0">
      <alignment horizontal="left" vertical="center" indent="1"/>
    </xf>
    <xf numFmtId="0" fontId="68" fillId="99" borderId="32" applyNumberFormat="0" applyProtection="0">
      <alignment horizontal="left" vertical="top" indent="1"/>
    </xf>
    <xf numFmtId="0" fontId="68" fillId="99" borderId="32" applyNumberFormat="0" applyProtection="0">
      <alignment horizontal="left" vertical="top" indent="1"/>
    </xf>
    <xf numFmtId="0" fontId="50" fillId="99" borderId="32" applyNumberFormat="0" applyProtection="0">
      <alignment horizontal="left" vertical="top" indent="1"/>
    </xf>
    <xf numFmtId="0" fontId="50" fillId="99" borderId="32" applyNumberFormat="0" applyProtection="0">
      <alignment horizontal="left" vertical="top" indent="1"/>
    </xf>
    <xf numFmtId="4" fontId="66" fillId="5" borderId="20" applyNumberFormat="0" applyProtection="0">
      <alignment horizontal="right" vertical="center"/>
    </xf>
    <xf numFmtId="4" fontId="66" fillId="5" borderId="20" applyNumberFormat="0" applyProtection="0">
      <alignment horizontal="right" vertical="center"/>
    </xf>
    <xf numFmtId="4" fontId="123" fillId="105" borderId="32" applyNumberFormat="0" applyProtection="0">
      <alignment horizontal="right" vertical="center"/>
    </xf>
    <xf numFmtId="4" fontId="123" fillId="105" borderId="32" applyNumberFormat="0" applyProtection="0">
      <alignment horizontal="right" vertical="center"/>
    </xf>
    <xf numFmtId="4" fontId="10" fillId="50" borderId="20" applyNumberFormat="0" applyProtection="0">
      <alignment horizontal="left" vertical="center" indent="1"/>
    </xf>
    <xf numFmtId="0" fontId="68" fillId="104" borderId="32" applyNumberFormat="0" applyProtection="0">
      <alignment horizontal="left" vertical="top" indent="1"/>
    </xf>
    <xf numFmtId="0" fontId="68" fillId="104" borderId="32" applyNumberFormat="0" applyProtection="0">
      <alignment horizontal="left" vertical="top" indent="1"/>
    </xf>
    <xf numFmtId="0" fontId="50" fillId="104" borderId="32" applyNumberFormat="0" applyProtection="0">
      <alignment horizontal="left" vertical="top" indent="1"/>
    </xf>
    <xf numFmtId="0" fontId="50" fillId="104" borderId="32" applyNumberFormat="0" applyProtection="0">
      <alignment horizontal="left" vertical="top" indent="1"/>
    </xf>
    <xf numFmtId="4" fontId="69" fillId="108" borderId="33" applyNumberFormat="0" applyProtection="0">
      <alignment horizontal="left" vertical="center" indent="1"/>
    </xf>
    <xf numFmtId="4" fontId="69" fillId="108" borderId="33" applyNumberFormat="0" applyProtection="0">
      <alignment horizontal="left" vertical="center" indent="1"/>
    </xf>
    <xf numFmtId="4" fontId="124" fillId="108" borderId="0" applyNumberFormat="0" applyProtection="0">
      <alignment horizontal="left" vertical="center" indent="1"/>
    </xf>
    <xf numFmtId="4" fontId="124" fillId="108" borderId="0" applyNumberFormat="0" applyProtection="0">
      <alignment horizontal="left" vertical="center" indent="1"/>
    </xf>
    <xf numFmtId="0" fontId="10" fillId="109" borderId="6"/>
    <xf numFmtId="4" fontId="70" fillId="107" borderId="20" applyNumberFormat="0" applyProtection="0">
      <alignment horizontal="right" vertical="center"/>
    </xf>
    <xf numFmtId="4" fontId="70" fillId="107" borderId="20" applyNumberFormat="0" applyProtection="0">
      <alignment horizontal="right" vertical="center"/>
    </xf>
    <xf numFmtId="4" fontId="125" fillId="105" borderId="32" applyNumberFormat="0" applyProtection="0">
      <alignment horizontal="right" vertical="center"/>
    </xf>
    <xf numFmtId="4" fontId="125" fillId="105" borderId="32" applyNumberFormat="0" applyProtection="0">
      <alignment horizontal="right" vertical="center"/>
    </xf>
    <xf numFmtId="0" fontId="7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41" fontId="1" fillId="0" borderId="0" applyFont="0" applyFill="0" applyBorder="0" applyAlignment="0" applyProtection="0"/>
    <xf numFmtId="0" fontId="131" fillId="0" borderId="0"/>
    <xf numFmtId="9" fontId="131" fillId="0" borderId="0" applyFont="0" applyFill="0" applyBorder="0" applyAlignment="0" applyProtection="0"/>
    <xf numFmtId="43" fontId="13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3">
    <xf numFmtId="0" fontId="0" fillId="0" borderId="0" xfId="0"/>
    <xf numFmtId="9" fontId="0" fillId="0" borderId="0" xfId="1" applyFont="1" applyFill="1" applyBorder="1"/>
    <xf numFmtId="0" fontId="0" fillId="0" borderId="0" xfId="0" applyAlignment="1">
      <alignment horizontal="center"/>
    </xf>
    <xf numFmtId="9" fontId="0" fillId="0" borderId="0" xfId="1" applyFont="1" applyBorder="1"/>
    <xf numFmtId="0" fontId="2" fillId="0" borderId="0" xfId="0" applyFont="1"/>
    <xf numFmtId="167" fontId="2" fillId="2" borderId="0" xfId="0" applyNumberFormat="1" applyFont="1" applyFill="1" applyAlignment="1">
      <alignment horizontal="center"/>
    </xf>
    <xf numFmtId="0" fontId="2" fillId="2" borderId="0" xfId="0" applyFont="1" applyFill="1"/>
    <xf numFmtId="9" fontId="0" fillId="0" borderId="0" xfId="1" applyFont="1" applyAlignment="1">
      <alignment horizontal="center"/>
    </xf>
    <xf numFmtId="167" fontId="0" fillId="0" borderId="0" xfId="0" applyNumberFormat="1" applyAlignment="1">
      <alignment horizontal="center"/>
    </xf>
    <xf numFmtId="167" fontId="2" fillId="3" borderId="0" xfId="0" applyNumberFormat="1" applyFont="1" applyFill="1" applyAlignment="1">
      <alignment horizontal="center"/>
    </xf>
    <xf numFmtId="0" fontId="2" fillId="3" borderId="0" xfId="0" applyFont="1" applyFill="1"/>
    <xf numFmtId="0" fontId="4" fillId="0" borderId="0" xfId="0" applyFont="1"/>
    <xf numFmtId="0" fontId="0" fillId="0" borderId="0" xfId="0" applyAlignment="1">
      <alignment horizontal="right"/>
    </xf>
    <xf numFmtId="167" fontId="2" fillId="0" borderId="0" xfId="0" applyNumberFormat="1" applyFont="1" applyAlignment="1">
      <alignment horizontal="center"/>
    </xf>
    <xf numFmtId="0" fontId="5" fillId="0" borderId="0" xfId="0" applyFont="1"/>
    <xf numFmtId="0" fontId="19" fillId="0" borderId="0" xfId="0" applyFont="1" applyAlignment="1">
      <alignment horizontal="center"/>
    </xf>
    <xf numFmtId="2" fontId="19" fillId="0" borderId="0" xfId="0" applyNumberFormat="1" applyFont="1" applyAlignment="1">
      <alignment horizontal="center"/>
    </xf>
    <xf numFmtId="10" fontId="19" fillId="0" borderId="0" xfId="1" applyNumberFormat="1" applyFont="1" applyFill="1" applyAlignment="1">
      <alignment horizontal="center"/>
    </xf>
    <xf numFmtId="2" fontId="21" fillId="0" borderId="0" xfId="0" applyNumberFormat="1" applyFont="1" applyAlignment="1">
      <alignment horizontal="center"/>
    </xf>
    <xf numFmtId="10" fontId="19" fillId="0" borderId="0" xfId="1" applyNumberFormat="1" applyFont="1" applyFill="1" applyBorder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/>
    </xf>
    <xf numFmtId="167" fontId="20" fillId="0" borderId="0" xfId="0" applyNumberFormat="1" applyFont="1" applyAlignment="1">
      <alignment horizontal="center"/>
    </xf>
    <xf numFmtId="9" fontId="20" fillId="0" borderId="0" xfId="1" applyFont="1" applyAlignment="1">
      <alignment horizontal="center"/>
    </xf>
    <xf numFmtId="0" fontId="19" fillId="0" borderId="0" xfId="0" applyFont="1"/>
    <xf numFmtId="0" fontId="22" fillId="0" borderId="0" xfId="0" applyFont="1"/>
    <xf numFmtId="0" fontId="21" fillId="0" borderId="0" xfId="0" applyFont="1"/>
    <xf numFmtId="0" fontId="16" fillId="0" borderId="0" xfId="0" applyFont="1"/>
    <xf numFmtId="0" fontId="18" fillId="0" borderId="0" xfId="0" applyFont="1"/>
    <xf numFmtId="0" fontId="23" fillId="0" borderId="0" xfId="0" applyFont="1"/>
    <xf numFmtId="2" fontId="23" fillId="0" borderId="0" xfId="0" applyNumberFormat="1" applyFont="1" applyAlignment="1">
      <alignment horizontal="center"/>
    </xf>
    <xf numFmtId="10" fontId="23" fillId="0" borderId="0" xfId="1" applyNumberFormat="1" applyFont="1" applyFill="1" applyBorder="1" applyAlignment="1">
      <alignment horizontal="center"/>
    </xf>
    <xf numFmtId="10" fontId="23" fillId="0" borderId="0" xfId="1" applyNumberFormat="1" applyFont="1" applyFill="1" applyAlignment="1">
      <alignment horizontal="center"/>
    </xf>
    <xf numFmtId="0" fontId="17" fillId="0" borderId="0" xfId="0" applyFont="1"/>
    <xf numFmtId="172" fontId="24" fillId="0" borderId="0" xfId="1" applyNumberFormat="1" applyFont="1" applyFill="1"/>
    <xf numFmtId="0" fontId="25" fillId="0" borderId="0" xfId="0" applyFont="1"/>
    <xf numFmtId="0" fontId="27" fillId="0" borderId="0" xfId="0" applyFont="1" applyAlignment="1">
      <alignment horizontal="center"/>
    </xf>
    <xf numFmtId="0" fontId="24" fillId="0" borderId="0" xfId="0" applyFont="1"/>
    <xf numFmtId="0" fontId="87" fillId="0" borderId="0" xfId="0" applyFont="1"/>
    <xf numFmtId="167" fontId="16" fillId="0" borderId="0" xfId="0" applyNumberFormat="1" applyFont="1" applyAlignment="1">
      <alignment horizontal="center"/>
    </xf>
    <xf numFmtId="9" fontId="16" fillId="0" borderId="0" xfId="1" applyFont="1" applyAlignment="1">
      <alignment horizontal="center"/>
    </xf>
    <xf numFmtId="167" fontId="17" fillId="0" borderId="0" xfId="0" applyNumberFormat="1" applyFont="1"/>
    <xf numFmtId="0" fontId="2" fillId="0" borderId="0" xfId="0" applyFont="1" applyAlignment="1">
      <alignment horizontal="center"/>
    </xf>
    <xf numFmtId="9" fontId="2" fillId="0" borderId="0" xfId="1" applyFont="1" applyFill="1" applyBorder="1"/>
    <xf numFmtId="167" fontId="29" fillId="0" borderId="0" xfId="0" applyNumberFormat="1" applyFont="1" applyAlignment="1">
      <alignment horizontal="center"/>
    </xf>
    <xf numFmtId="9" fontId="29" fillId="0" borderId="0" xfId="1" applyFont="1" applyFill="1" applyAlignment="1">
      <alignment horizontal="center"/>
    </xf>
    <xf numFmtId="167" fontId="28" fillId="0" borderId="0" xfId="0" applyNumberFormat="1" applyFont="1" applyAlignment="1">
      <alignment horizontal="center"/>
    </xf>
    <xf numFmtId="9" fontId="28" fillId="0" borderId="0" xfId="1" applyFont="1" applyFill="1" applyAlignment="1">
      <alignment horizontal="center"/>
    </xf>
    <xf numFmtId="167" fontId="29" fillId="3" borderId="0" xfId="0" applyNumberFormat="1" applyFont="1" applyFill="1" applyAlignment="1">
      <alignment horizontal="center"/>
    </xf>
    <xf numFmtId="9" fontId="29" fillId="3" borderId="0" xfId="1" applyFont="1" applyFill="1" applyAlignment="1">
      <alignment horizontal="center"/>
    </xf>
    <xf numFmtId="167" fontId="29" fillId="2" borderId="0" xfId="0" applyNumberFormat="1" applyFont="1" applyFill="1" applyAlignment="1">
      <alignment horizontal="center"/>
    </xf>
    <xf numFmtId="9" fontId="29" fillId="2" borderId="0" xfId="1" applyFont="1" applyFill="1" applyAlignment="1">
      <alignment horizontal="center"/>
    </xf>
    <xf numFmtId="0" fontId="16" fillId="110" borderId="6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9" fillId="111" borderId="6" xfId="1872" applyFont="1" applyFill="1" applyBorder="1" applyAlignment="1">
      <alignment horizontal="center"/>
    </xf>
    <xf numFmtId="0" fontId="29" fillId="0" borderId="6" xfId="1872" applyFont="1" applyBorder="1"/>
    <xf numFmtId="167" fontId="28" fillId="0" borderId="6" xfId="1856" applyNumberFormat="1" applyFont="1" applyFill="1" applyBorder="1"/>
    <xf numFmtId="9" fontId="28" fillId="0" borderId="6" xfId="12" applyFont="1" applyFill="1" applyBorder="1" applyAlignment="1">
      <alignment horizontal="center"/>
    </xf>
    <xf numFmtId="0" fontId="28" fillId="113" borderId="6" xfId="1873" applyFont="1" applyFill="1" applyBorder="1"/>
    <xf numFmtId="0" fontId="29" fillId="113" borderId="6" xfId="1873" applyFont="1" applyFill="1" applyBorder="1" applyAlignment="1">
      <alignment horizontal="center" vertical="center"/>
    </xf>
    <xf numFmtId="0" fontId="29" fillId="113" borderId="6" xfId="1873" applyFont="1" applyFill="1" applyBorder="1"/>
    <xf numFmtId="2" fontId="28" fillId="0" borderId="6" xfId="1873" applyNumberFormat="1" applyFont="1" applyFill="1" applyBorder="1" applyAlignment="1">
      <alignment horizontal="center"/>
    </xf>
    <xf numFmtId="10" fontId="28" fillId="0" borderId="6" xfId="12" applyNumberFormat="1" applyFont="1" applyFill="1" applyBorder="1" applyAlignment="1">
      <alignment horizontal="center"/>
    </xf>
    <xf numFmtId="0" fontId="126" fillId="111" borderId="6" xfId="1872" applyFont="1" applyFill="1" applyBorder="1" applyAlignment="1">
      <alignment horizontal="center" wrapText="1"/>
    </xf>
    <xf numFmtId="0" fontId="115" fillId="0" borderId="6" xfId="1872" applyFont="1" applyBorder="1" applyAlignment="1">
      <alignment horizontal="right"/>
    </xf>
    <xf numFmtId="167" fontId="115" fillId="0" borderId="6" xfId="1856" applyNumberFormat="1" applyFont="1" applyFill="1" applyBorder="1"/>
    <xf numFmtId="9" fontId="115" fillId="0" borderId="6" xfId="12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8" fillId="0" borderId="0" xfId="0" applyFont="1"/>
    <xf numFmtId="0" fontId="89" fillId="0" borderId="0" xfId="0" applyFont="1"/>
    <xf numFmtId="3" fontId="25" fillId="0" borderId="0" xfId="2302" applyNumberFormat="1" applyFont="1" applyFill="1" applyBorder="1" applyAlignment="1">
      <alignment horizontal="right"/>
    </xf>
    <xf numFmtId="3" fontId="88" fillId="0" borderId="0" xfId="2302" applyNumberFormat="1" applyFont="1" applyFill="1" applyBorder="1" applyAlignment="1">
      <alignment horizontal="right"/>
    </xf>
    <xf numFmtId="3" fontId="25" fillId="0" borderId="0" xfId="1677" applyNumberFormat="1" applyFont="1" applyFill="1" applyBorder="1" applyAlignment="1">
      <alignment horizontal="right"/>
    </xf>
    <xf numFmtId="3" fontId="88" fillId="0" borderId="0" xfId="1677" applyNumberFormat="1" applyFont="1" applyFill="1" applyBorder="1" applyAlignment="1">
      <alignment horizontal="right"/>
    </xf>
    <xf numFmtId="0" fontId="88" fillId="0" borderId="0" xfId="2302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3" fontId="25" fillId="0" borderId="0" xfId="0" applyNumberFormat="1" applyFont="1"/>
    <xf numFmtId="0" fontId="88" fillId="0" borderId="0" xfId="0" applyFont="1" applyAlignment="1">
      <alignment horizontal="left" vertical="center"/>
    </xf>
    <xf numFmtId="0" fontId="128" fillId="122" borderId="0" xfId="0" applyFont="1" applyFill="1" applyAlignment="1">
      <alignment horizontal="left"/>
    </xf>
    <xf numFmtId="3" fontId="128" fillId="122" borderId="0" xfId="0" applyNumberFormat="1" applyFont="1" applyFill="1"/>
    <xf numFmtId="0" fontId="128" fillId="122" borderId="0" xfId="0" applyFont="1" applyFill="1"/>
    <xf numFmtId="3" fontId="128" fillId="122" borderId="0" xfId="1677" applyNumberFormat="1" applyFont="1" applyFill="1" applyBorder="1" applyAlignment="1">
      <alignment horizontal="right"/>
    </xf>
    <xf numFmtId="0" fontId="128" fillId="110" borderId="0" xfId="0" applyFont="1" applyFill="1"/>
    <xf numFmtId="3" fontId="128" fillId="110" borderId="0" xfId="2302" applyNumberFormat="1" applyFont="1" applyFill="1" applyBorder="1" applyAlignment="1">
      <alignment horizontal="right"/>
    </xf>
    <xf numFmtId="3" fontId="128" fillId="110" borderId="0" xfId="0" applyNumberFormat="1" applyFont="1" applyFill="1"/>
    <xf numFmtId="3" fontId="128" fillId="110" borderId="0" xfId="1677" applyNumberFormat="1" applyFont="1" applyFill="1" applyBorder="1" applyAlignment="1">
      <alignment horizontal="right"/>
    </xf>
    <xf numFmtId="3" fontId="88" fillId="0" borderId="0" xfId="1677" applyNumberFormat="1" applyFont="1" applyFill="1" applyBorder="1" applyAlignment="1"/>
    <xf numFmtId="0" fontId="129" fillId="123" borderId="0" xfId="0" applyFont="1" applyFill="1" applyAlignment="1">
      <alignment horizontal="left" vertical="center"/>
    </xf>
    <xf numFmtId="0" fontId="130" fillId="123" borderId="0" xfId="2302" applyNumberFormat="1" applyFont="1" applyFill="1" applyBorder="1" applyAlignment="1">
      <alignment horizontal="center"/>
    </xf>
    <xf numFmtId="3" fontId="25" fillId="124" borderId="0" xfId="2302" applyNumberFormat="1" applyFont="1" applyFill="1" applyBorder="1" applyAlignment="1">
      <alignment horizontal="right"/>
    </xf>
    <xf numFmtId="3" fontId="25" fillId="124" borderId="0" xfId="1677" applyNumberFormat="1" applyFont="1" applyFill="1" applyBorder="1" applyAlignment="1">
      <alignment horizontal="right"/>
    </xf>
    <xf numFmtId="0" fontId="129" fillId="0" borderId="0" xfId="0" applyFont="1" applyAlignment="1">
      <alignment horizontal="left" vertical="center"/>
    </xf>
    <xf numFmtId="0" fontId="130" fillId="0" borderId="0" xfId="2302" applyNumberFormat="1" applyFont="1" applyFill="1" applyBorder="1" applyAlignment="1">
      <alignment horizontal="center"/>
    </xf>
    <xf numFmtId="0" fontId="29" fillId="111" borderId="6" xfId="1872" applyFont="1" applyFill="1" applyBorder="1" applyAlignment="1">
      <alignment horizontal="center" wrapText="1"/>
    </xf>
    <xf numFmtId="0" fontId="128" fillId="125" borderId="0" xfId="0" applyFont="1" applyFill="1"/>
    <xf numFmtId="210" fontId="115" fillId="0" borderId="6" xfId="1856" applyNumberFormat="1" applyFont="1" applyFill="1" applyBorder="1"/>
    <xf numFmtId="210" fontId="115" fillId="0" borderId="6" xfId="1856" applyNumberFormat="1" applyFont="1" applyFill="1" applyBorder="1" applyAlignment="1">
      <alignment horizontal="center"/>
    </xf>
    <xf numFmtId="0" fontId="132" fillId="0" borderId="6" xfId="1872" applyFont="1" applyBorder="1" applyAlignment="1">
      <alignment horizontal="right"/>
    </xf>
    <xf numFmtId="3" fontId="128" fillId="124" borderId="0" xfId="1677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33" fillId="0" borderId="0" xfId="0" applyFont="1" applyAlignment="1">
      <alignment horizontal="center"/>
    </xf>
    <xf numFmtId="0" fontId="133" fillId="0" borderId="0" xfId="0" applyFont="1"/>
    <xf numFmtId="2" fontId="0" fillId="0" borderId="0" xfId="0" applyNumberFormat="1" applyAlignment="1">
      <alignment horizontal="center"/>
    </xf>
    <xf numFmtId="0" fontId="16" fillId="126" borderId="0" xfId="0" applyFont="1" applyFill="1"/>
    <xf numFmtId="167" fontId="16" fillId="126" borderId="0" xfId="0" applyNumberFormat="1" applyFont="1" applyFill="1" applyAlignment="1">
      <alignment horizontal="center"/>
    </xf>
    <xf numFmtId="0" fontId="5" fillId="126" borderId="0" xfId="0" applyFont="1" applyFill="1"/>
    <xf numFmtId="0" fontId="17" fillId="126" borderId="0" xfId="0" applyFont="1" applyFill="1"/>
    <xf numFmtId="0" fontId="17" fillId="126" borderId="41" xfId="0" applyFont="1" applyFill="1" applyBorder="1" applyAlignment="1">
      <alignment horizontal="right"/>
    </xf>
    <xf numFmtId="167" fontId="17" fillId="126" borderId="41" xfId="0" applyNumberFormat="1" applyFont="1" applyFill="1" applyBorder="1" applyAlignment="1">
      <alignment horizontal="center"/>
    </xf>
    <xf numFmtId="0" fontId="17" fillId="126" borderId="0" xfId="0" applyFont="1" applyFill="1" applyAlignment="1">
      <alignment horizontal="right"/>
    </xf>
    <xf numFmtId="167" fontId="17" fillId="126" borderId="0" xfId="0" applyNumberFormat="1" applyFont="1" applyFill="1" applyAlignment="1">
      <alignment horizontal="center"/>
    </xf>
    <xf numFmtId="0" fontId="17" fillId="126" borderId="0" xfId="0" applyFont="1" applyFill="1" applyAlignment="1">
      <alignment horizontal="left"/>
    </xf>
    <xf numFmtId="0" fontId="17" fillId="126" borderId="1" xfId="0" applyFont="1" applyFill="1" applyBorder="1" applyAlignment="1">
      <alignment horizontal="right"/>
    </xf>
    <xf numFmtId="0" fontId="17" fillId="126" borderId="1" xfId="0" applyFont="1" applyFill="1" applyBorder="1" applyAlignment="1">
      <alignment horizontal="center"/>
    </xf>
    <xf numFmtId="167" fontId="17" fillId="126" borderId="1" xfId="0" applyNumberFormat="1" applyFont="1" applyFill="1" applyBorder="1" applyAlignment="1">
      <alignment horizontal="center"/>
    </xf>
    <xf numFmtId="0" fontId="17" fillId="126" borderId="41" xfId="0" applyFont="1" applyFill="1" applyBorder="1" applyAlignment="1">
      <alignment horizontal="center"/>
    </xf>
    <xf numFmtId="0" fontId="16" fillId="126" borderId="0" xfId="0" applyFont="1" applyFill="1" applyAlignment="1">
      <alignment horizontal="center"/>
    </xf>
    <xf numFmtId="0" fontId="17" fillId="126" borderId="0" xfId="0" quotePrefix="1" applyFont="1" applyFill="1" applyAlignment="1">
      <alignment horizontal="center"/>
    </xf>
    <xf numFmtId="0" fontId="17" fillId="126" borderId="0" xfId="0" applyFont="1" applyFill="1" applyAlignment="1">
      <alignment horizontal="center"/>
    </xf>
    <xf numFmtId="0" fontId="5" fillId="126" borderId="0" xfId="0" applyFont="1" applyFill="1" applyAlignment="1">
      <alignment horizontal="right"/>
    </xf>
    <xf numFmtId="0" fontId="5" fillId="126" borderId="0" xfId="0" applyFont="1" applyFill="1" applyAlignment="1">
      <alignment horizontal="center"/>
    </xf>
    <xf numFmtId="167" fontId="5" fillId="126" borderId="0" xfId="0" applyNumberFormat="1" applyFont="1" applyFill="1" applyAlignment="1">
      <alignment horizontal="center"/>
    </xf>
    <xf numFmtId="0" fontId="0" fillId="126" borderId="0" xfId="0" applyFill="1"/>
    <xf numFmtId="0" fontId="127" fillId="126" borderId="0" xfId="0" applyFont="1" applyFill="1"/>
    <xf numFmtId="0" fontId="115" fillId="126" borderId="0" xfId="1873" applyFont="1" applyFill="1" applyAlignment="1">
      <alignment horizontal="center"/>
    </xf>
    <xf numFmtId="0" fontId="28" fillId="126" borderId="0" xfId="1873" applyFont="1" applyFill="1"/>
    <xf numFmtId="3" fontId="18" fillId="124" borderId="0" xfId="1677" applyNumberFormat="1" applyFont="1" applyFill="1" applyBorder="1" applyAlignment="1">
      <alignment horizontal="right"/>
    </xf>
    <xf numFmtId="3" fontId="18" fillId="0" borderId="0" xfId="0" applyNumberFormat="1" applyFont="1"/>
    <xf numFmtId="0" fontId="25" fillId="0" borderId="3" xfId="0" applyFont="1" applyBorder="1" applyAlignment="1">
      <alignment horizontal="right"/>
    </xf>
    <xf numFmtId="43" fontId="25" fillId="127" borderId="4" xfId="1815" applyFont="1" applyFill="1" applyBorder="1"/>
    <xf numFmtId="43" fontId="25" fillId="127" borderId="5" xfId="1815" applyFont="1" applyFill="1" applyBorder="1"/>
    <xf numFmtId="0" fontId="16" fillId="0" borderId="4" xfId="0" applyFont="1" applyBorder="1"/>
    <xf numFmtId="0" fontId="0" fillId="0" borderId="4" xfId="0" applyBorder="1"/>
    <xf numFmtId="3" fontId="25" fillId="124" borderId="0" xfId="2306" applyNumberFormat="1" applyFont="1" applyFill="1" applyBorder="1" applyAlignment="1">
      <alignment horizontal="right"/>
    </xf>
    <xf numFmtId="0" fontId="29" fillId="111" borderId="8" xfId="1872" applyFont="1" applyFill="1" applyBorder="1" applyAlignment="1">
      <alignment horizontal="center"/>
    </xf>
    <xf numFmtId="0" fontId="29" fillId="111" borderId="1" xfId="1872" applyFont="1" applyFill="1" applyBorder="1" applyAlignment="1">
      <alignment horizontal="center"/>
    </xf>
    <xf numFmtId="0" fontId="29" fillId="111" borderId="7" xfId="1872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left"/>
    </xf>
  </cellXfs>
  <cellStyles count="2307">
    <cellStyle name="# Historical" xfId="1876" xr:uid="{00000000-0005-0000-0000-000000000000}"/>
    <cellStyle name=". Testo" xfId="13" xr:uid="{00000000-0005-0000-0000-000001000000}"/>
    <cellStyle name="_%(SignOnly)" xfId="14" xr:uid="{00000000-0005-0000-0000-000002000000}"/>
    <cellStyle name="_%(SignSpaceOnly)" xfId="15" xr:uid="{00000000-0005-0000-0000-000003000000}"/>
    <cellStyle name="_Comma" xfId="16" xr:uid="{00000000-0005-0000-0000-000004000000}"/>
    <cellStyle name="_Currency" xfId="17" xr:uid="{00000000-0005-0000-0000-000005000000}"/>
    <cellStyle name="_CurrencySpace" xfId="18" xr:uid="{00000000-0005-0000-0000-000006000000}"/>
    <cellStyle name="_Euro" xfId="19" xr:uid="{00000000-0005-0000-0000-000007000000}"/>
    <cellStyle name="_Euro_Fichier FV 30_09_06" xfId="20" xr:uid="{00000000-0005-0000-0000-000008000000}"/>
    <cellStyle name="_Heading" xfId="21" xr:uid="{00000000-0005-0000-0000-000009000000}"/>
    <cellStyle name="_Heading_20081202 - Austria" xfId="22" xr:uid="{00000000-0005-0000-0000-00000A000000}"/>
    <cellStyle name="_Heading_20081202 - Austria_20100209_Appl Planning_CC-B" xfId="23" xr:uid="{00000000-0005-0000-0000-00000B000000}"/>
    <cellStyle name="_Heading_20081202 - Austria_20100324_Appl Planning_CC-B" xfId="24" xr:uid="{00000000-0005-0000-0000-00000C000000}"/>
    <cellStyle name="_Heading_20081202 - Austria_20100520_Appl Planning_CC-B" xfId="25" xr:uid="{00000000-0005-0000-0000-00000D000000}"/>
    <cellStyle name="_Heading_20081202 - Austria_20100610_Appl Planning_CC-B" xfId="26" xr:uid="{00000000-0005-0000-0000-00000E000000}"/>
    <cellStyle name="_Heading_20081202 - Austria_20100621_Appl Planning_CC-B" xfId="27" xr:uid="{00000000-0005-0000-0000-00000F000000}"/>
    <cellStyle name="_Heading_20081202 - Austria_20100716_Appl Planning_CC-B" xfId="28" xr:uid="{00000000-0005-0000-0000-000010000000}"/>
    <cellStyle name="_Heading_20081202 - Austria_20100916_Appl Planning_CC-B" xfId="29" xr:uid="{00000000-0005-0000-0000-000011000000}"/>
    <cellStyle name="_Heading_20081202 - Denmark" xfId="30" xr:uid="{00000000-0005-0000-0000-000012000000}"/>
    <cellStyle name="_Heading_20081202 - Denmark_20100209_Appl Planning_CC-B" xfId="31" xr:uid="{00000000-0005-0000-0000-000013000000}"/>
    <cellStyle name="_Heading_20081202 - Denmark_20100324_Appl Planning_CC-B" xfId="32" xr:uid="{00000000-0005-0000-0000-000014000000}"/>
    <cellStyle name="_Heading_20081202 - Denmark_20100520_Appl Planning_CC-B" xfId="33" xr:uid="{00000000-0005-0000-0000-000015000000}"/>
    <cellStyle name="_Heading_20081202 - Denmark_20100610_Appl Planning_CC-B" xfId="34" xr:uid="{00000000-0005-0000-0000-000016000000}"/>
    <cellStyle name="_Heading_20081202 - Denmark_20100621_Appl Planning_CC-B" xfId="35" xr:uid="{00000000-0005-0000-0000-000017000000}"/>
    <cellStyle name="_Heading_20081202 - Denmark_20100716_Appl Planning_CC-B" xfId="36" xr:uid="{00000000-0005-0000-0000-000018000000}"/>
    <cellStyle name="_Heading_20081202 - Denmark_20100916_Appl Planning_CC-B" xfId="37" xr:uid="{00000000-0005-0000-0000-000019000000}"/>
    <cellStyle name="_Heading_20081202 - Poland" xfId="38" xr:uid="{00000000-0005-0000-0000-00001A000000}"/>
    <cellStyle name="_Heading_20081202 - Poland_20100209_Appl Planning_CC-B" xfId="39" xr:uid="{00000000-0005-0000-0000-00001B000000}"/>
    <cellStyle name="_Heading_20081202 - Poland_20100324_Appl Planning_CC-B" xfId="40" xr:uid="{00000000-0005-0000-0000-00001C000000}"/>
    <cellStyle name="_Heading_20081202 - Poland_20100520_Appl Planning_CC-B" xfId="41" xr:uid="{00000000-0005-0000-0000-00001D000000}"/>
    <cellStyle name="_Heading_20081202 - Poland_20100610_Appl Planning_CC-B" xfId="42" xr:uid="{00000000-0005-0000-0000-00001E000000}"/>
    <cellStyle name="_Heading_20081202 - Poland_20100621_Appl Planning_CC-B" xfId="43" xr:uid="{00000000-0005-0000-0000-00001F000000}"/>
    <cellStyle name="_Heading_20081202 - Poland_20100716_Appl Planning_CC-B" xfId="44" xr:uid="{00000000-0005-0000-0000-000020000000}"/>
    <cellStyle name="_Heading_20081202 - Poland_20100916_Appl Planning_CC-B" xfId="45" xr:uid="{00000000-0005-0000-0000-000021000000}"/>
    <cellStyle name="_Heading_5 07 inviato per novembre al mercato" xfId="46" xr:uid="{00000000-0005-0000-0000-000022000000}"/>
    <cellStyle name="_Heading_5 07 inviato per novembre al mercato_20100209_Appl Planning_CC-B" xfId="47" xr:uid="{00000000-0005-0000-0000-000023000000}"/>
    <cellStyle name="_Heading_5 07 inviato per novembre al mercato_20100324_Appl Planning_CC-B" xfId="48" xr:uid="{00000000-0005-0000-0000-000024000000}"/>
    <cellStyle name="_Heading_5 07 inviato per novembre al mercato_20100520_Appl Planning_CC-B" xfId="49" xr:uid="{00000000-0005-0000-0000-000025000000}"/>
    <cellStyle name="_Heading_5 07 inviato per novembre al mercato_20100610_Appl Planning_CC-B" xfId="50" xr:uid="{00000000-0005-0000-0000-000026000000}"/>
    <cellStyle name="_Heading_5 07 inviato per novembre al mercato_20100621_Appl Planning_CC-B" xfId="51" xr:uid="{00000000-0005-0000-0000-000027000000}"/>
    <cellStyle name="_Heading_5 07 inviato per novembre al mercato_20100716_Appl Planning_CC-B" xfId="52" xr:uid="{00000000-0005-0000-0000-000028000000}"/>
    <cellStyle name="_Heading_5 07 inviato per novembre al mercato_20100916_Appl Planning_CC-B" xfId="53" xr:uid="{00000000-0005-0000-0000-000029000000}"/>
    <cellStyle name="_Heading_5 07 k2 con dati di novembre" xfId="54" xr:uid="{00000000-0005-0000-0000-00002A000000}"/>
    <cellStyle name="_Heading_5 07 k2 con dati di novembre_20100209_Appl Planning_CC-B" xfId="55" xr:uid="{00000000-0005-0000-0000-00002B000000}"/>
    <cellStyle name="_Heading_5 07 k2 con dati di novembre_20100324_Appl Planning_CC-B" xfId="56" xr:uid="{00000000-0005-0000-0000-00002C000000}"/>
    <cellStyle name="_Heading_5 07 k2 con dati di novembre_20100520_Appl Planning_CC-B" xfId="57" xr:uid="{00000000-0005-0000-0000-00002D000000}"/>
    <cellStyle name="_Heading_5 07 k2 con dati di novembre_20100610_Appl Planning_CC-B" xfId="58" xr:uid="{00000000-0005-0000-0000-00002E000000}"/>
    <cellStyle name="_Heading_5 07 k2 con dati di novembre_20100621_Appl Planning_CC-B" xfId="59" xr:uid="{00000000-0005-0000-0000-00002F000000}"/>
    <cellStyle name="_Heading_5 07 k2 con dati di novembre_20100716_Appl Planning_CC-B" xfId="60" xr:uid="{00000000-0005-0000-0000-000030000000}"/>
    <cellStyle name="_Heading_5 07 k2 con dati di novembre_20100916_Appl Planning_CC-B" xfId="61" xr:uid="{00000000-0005-0000-0000-000031000000}"/>
    <cellStyle name="_Heading_Cartel1 (7)" xfId="62" xr:uid="{00000000-0005-0000-0000-000032000000}"/>
    <cellStyle name="_Heading_Cartel1 (7)_20100209_Appl Planning_CC-B" xfId="63" xr:uid="{00000000-0005-0000-0000-000033000000}"/>
    <cellStyle name="_Heading_Cartel1 (7)_20100324_Appl Planning_CC-B" xfId="64" xr:uid="{00000000-0005-0000-0000-000034000000}"/>
    <cellStyle name="_Heading_Cartel1 (7)_20100520_Appl Planning_CC-B" xfId="65" xr:uid="{00000000-0005-0000-0000-000035000000}"/>
    <cellStyle name="_Heading_Cartel1 (7)_20100610_Appl Planning_CC-B" xfId="66" xr:uid="{00000000-0005-0000-0000-000036000000}"/>
    <cellStyle name="_Heading_Cartel1 (7)_20100621_Appl Planning_CC-B" xfId="67" xr:uid="{00000000-0005-0000-0000-000037000000}"/>
    <cellStyle name="_Heading_Cartel1 (7)_20100716_Appl Planning_CC-B" xfId="68" xr:uid="{00000000-0005-0000-0000-000038000000}"/>
    <cellStyle name="_Heading_Cartel1 (7)_20100916_Appl Planning_CC-B" xfId="69" xr:uid="{00000000-0005-0000-0000-000039000000}"/>
    <cellStyle name="_Heading_Copie de K2 févrierr2009 - version MCLT" xfId="70" xr:uid="{00000000-0005-0000-0000-00003A000000}"/>
    <cellStyle name="_Heading_Copie de K2 févrierr2009 - version MCLT_20100209_Appl Planning_CC-B" xfId="71" xr:uid="{00000000-0005-0000-0000-00003B000000}"/>
    <cellStyle name="_Heading_Copie de K2 févrierr2009 - version MCLT_20100324_Appl Planning_CC-B" xfId="72" xr:uid="{00000000-0005-0000-0000-00003C000000}"/>
    <cellStyle name="_Heading_Copie de K2 févrierr2009 - version MCLT_20100520_Appl Planning_CC-B" xfId="73" xr:uid="{00000000-0005-0000-0000-00003D000000}"/>
    <cellStyle name="_Heading_Copie de K2 févrierr2009 - version MCLT_20100610_Appl Planning_CC-B" xfId="74" xr:uid="{00000000-0005-0000-0000-00003E000000}"/>
    <cellStyle name="_Heading_Copie de K2 févrierr2009 - version MCLT_20100621_Appl Planning_CC-B" xfId="75" xr:uid="{00000000-0005-0000-0000-00003F000000}"/>
    <cellStyle name="_Heading_Copie de K2 févrierr2009 - version MCLT_20100716_Appl Planning_CC-B" xfId="76" xr:uid="{00000000-0005-0000-0000-000040000000}"/>
    <cellStyle name="_Heading_Copie de K2 févrierr2009 - version MCLT_20100916_Appl Planning_CC-B" xfId="77" xr:uid="{00000000-0005-0000-0000-000041000000}"/>
    <cellStyle name="_Heading_Copie de K2 mars 2009 - version MCLT" xfId="78" xr:uid="{00000000-0005-0000-0000-000042000000}"/>
    <cellStyle name="_Heading_Copie de K2 mars 2009 - version MCLT_20100209_Appl Planning_CC-B" xfId="79" xr:uid="{00000000-0005-0000-0000-000043000000}"/>
    <cellStyle name="_Heading_Copie de K2 mars 2009 - version MCLT_20100324_Appl Planning_CC-B" xfId="80" xr:uid="{00000000-0005-0000-0000-000044000000}"/>
    <cellStyle name="_Heading_Copie de K2 mars 2009 - version MCLT_20100520_Appl Planning_CC-B" xfId="81" xr:uid="{00000000-0005-0000-0000-000045000000}"/>
    <cellStyle name="_Heading_Copie de K2 mars 2009 - version MCLT_20100610_Appl Planning_CC-B" xfId="82" xr:uid="{00000000-0005-0000-0000-000046000000}"/>
    <cellStyle name="_Heading_Copie de K2 mars 2009 - version MCLT_20100621_Appl Planning_CC-B" xfId="83" xr:uid="{00000000-0005-0000-0000-000047000000}"/>
    <cellStyle name="_Heading_Copie de K2 mars 2009 - version MCLT_20100716_Appl Planning_CC-B" xfId="84" xr:uid="{00000000-0005-0000-0000-000048000000}"/>
    <cellStyle name="_Heading_Copie de K2 mars 2009 - version MCLT_20100916_Appl Planning_CC-B" xfId="85" xr:uid="{00000000-0005-0000-0000-000049000000}"/>
    <cellStyle name="_Heading_Copie de K2 novembre 2008 - version MCLT" xfId="86" xr:uid="{00000000-0005-0000-0000-00004A000000}"/>
    <cellStyle name="_Heading_Copie de K2 novembre 2008 - version MCLT_20100209_Appl Planning_CC-B" xfId="87" xr:uid="{00000000-0005-0000-0000-00004B000000}"/>
    <cellStyle name="_Heading_Copie de K2 novembre 2008 - version MCLT_20100324_Appl Planning_CC-B" xfId="88" xr:uid="{00000000-0005-0000-0000-00004C000000}"/>
    <cellStyle name="_Heading_Copie de K2 novembre 2008 - version MCLT_20100520_Appl Planning_CC-B" xfId="89" xr:uid="{00000000-0005-0000-0000-00004D000000}"/>
    <cellStyle name="_Heading_Copie de K2 novembre 2008 - version MCLT_20100610_Appl Planning_CC-B" xfId="90" xr:uid="{00000000-0005-0000-0000-00004E000000}"/>
    <cellStyle name="_Heading_Copie de K2 novembre 2008 - version MCLT_20100621_Appl Planning_CC-B" xfId="91" xr:uid="{00000000-0005-0000-0000-00004F000000}"/>
    <cellStyle name="_Heading_Copie de K2 novembre 2008 - version MCLT_20100716_Appl Planning_CC-B" xfId="92" xr:uid="{00000000-0005-0000-0000-000050000000}"/>
    <cellStyle name="_Heading_Copie de K2 novembre 2008 - version MCLT_20100916_Appl Planning_CC-B" xfId="93" xr:uid="{00000000-0005-0000-0000-000051000000}"/>
    <cellStyle name="_Heading_CRITICAL STILL OPERATING" xfId="94" xr:uid="{00000000-0005-0000-0000-000052000000}"/>
    <cellStyle name="_Heading_CRITICAL STILL OPERATING_20100209_Appl Planning_CC-B" xfId="95" xr:uid="{00000000-0005-0000-0000-000053000000}"/>
    <cellStyle name="_Heading_CRITICAL STILL OPERATING_20100324_Appl Planning_CC-B" xfId="96" xr:uid="{00000000-0005-0000-0000-000054000000}"/>
    <cellStyle name="_Heading_CRITICAL STILL OPERATING_20100520_Appl Planning_CC-B" xfId="97" xr:uid="{00000000-0005-0000-0000-000055000000}"/>
    <cellStyle name="_Heading_CRITICAL STILL OPERATING_20100610_Appl Planning_CC-B" xfId="98" xr:uid="{00000000-0005-0000-0000-000056000000}"/>
    <cellStyle name="_Heading_CRITICAL STILL OPERATING_20100621_Appl Planning_CC-B" xfId="99" xr:uid="{00000000-0005-0000-0000-000057000000}"/>
    <cellStyle name="_Heading_CRITICAL STILL OPERATING_20100716_Appl Planning_CC-B" xfId="100" xr:uid="{00000000-0005-0000-0000-000058000000}"/>
    <cellStyle name="_Heading_CRITICAL STILL OPERATING_20100916_Appl Planning_CC-B" xfId="101" xr:uid="{00000000-0005-0000-0000-000059000000}"/>
    <cellStyle name="_Heading_Feuil1" xfId="102" xr:uid="{00000000-0005-0000-0000-00005A000000}"/>
    <cellStyle name="_Heading_FORMAT K2 NOVEMBER 2008" xfId="103" xr:uid="{00000000-0005-0000-0000-00005B000000}"/>
    <cellStyle name="_Heading_FORMAT K2 NOVEMBER 2008 (2)" xfId="104" xr:uid="{00000000-0005-0000-0000-00005C000000}"/>
    <cellStyle name="_Heading_FORMAT K2 NOVEMBER 2008 (2)_20100209_Appl Planning_CC-B" xfId="105" xr:uid="{00000000-0005-0000-0000-00005D000000}"/>
    <cellStyle name="_Heading_FORMAT K2 NOVEMBER 2008 (2)_20100324_Appl Planning_CC-B" xfId="106" xr:uid="{00000000-0005-0000-0000-00005E000000}"/>
    <cellStyle name="_Heading_FORMAT K2 NOVEMBER 2008 (2)_20100520_Appl Planning_CC-B" xfId="107" xr:uid="{00000000-0005-0000-0000-00005F000000}"/>
    <cellStyle name="_Heading_FORMAT K2 NOVEMBER 2008 (2)_20100610_Appl Planning_CC-B" xfId="108" xr:uid="{00000000-0005-0000-0000-000060000000}"/>
    <cellStyle name="_Heading_FORMAT K2 NOVEMBER 2008 (2)_20100621_Appl Planning_CC-B" xfId="109" xr:uid="{00000000-0005-0000-0000-000061000000}"/>
    <cellStyle name="_Heading_FORMAT K2 NOVEMBER 2008 (2)_20100716_Appl Planning_CC-B" xfId="110" xr:uid="{00000000-0005-0000-0000-000062000000}"/>
    <cellStyle name="_Heading_FORMAT K2 NOVEMBER 2008 (2)_20100916_Appl Planning_CC-B" xfId="111" xr:uid="{00000000-0005-0000-0000-000063000000}"/>
    <cellStyle name="_Heading_FORMAT K2 NOVEMBER 2008 (3)" xfId="112" xr:uid="{00000000-0005-0000-0000-000064000000}"/>
    <cellStyle name="_Heading_FORMAT K2 NOVEMBER 2008 (3)_20100209_Appl Planning_CC-B" xfId="113" xr:uid="{00000000-0005-0000-0000-000065000000}"/>
    <cellStyle name="_Heading_FORMAT K2 NOVEMBER 2008 (3)_20100324_Appl Planning_CC-B" xfId="114" xr:uid="{00000000-0005-0000-0000-000066000000}"/>
    <cellStyle name="_Heading_FORMAT K2 NOVEMBER 2008 (3)_20100520_Appl Planning_CC-B" xfId="115" xr:uid="{00000000-0005-0000-0000-000067000000}"/>
    <cellStyle name="_Heading_FORMAT K2 NOVEMBER 2008 (3)_20100610_Appl Planning_CC-B" xfId="116" xr:uid="{00000000-0005-0000-0000-000068000000}"/>
    <cellStyle name="_Heading_FORMAT K2 NOVEMBER 2008 (3)_20100621_Appl Planning_CC-B" xfId="117" xr:uid="{00000000-0005-0000-0000-000069000000}"/>
    <cellStyle name="_Heading_FORMAT K2 NOVEMBER 2008 (3)_20100716_Appl Planning_CC-B" xfId="118" xr:uid="{00000000-0005-0000-0000-00006A000000}"/>
    <cellStyle name="_Heading_FORMAT K2 NOVEMBER 2008 (3)_20100916_Appl Planning_CC-B" xfId="119" xr:uid="{00000000-0005-0000-0000-00006B000000}"/>
    <cellStyle name="_Heading_FORMAT K2 NOVEMBER 2008 SVIZZERA" xfId="120" xr:uid="{00000000-0005-0000-0000-00006C000000}"/>
    <cellStyle name="_Heading_FORMAT K2 NOVEMBER 2008 SVIZZERA_20100209_Appl Planning_CC-B" xfId="121" xr:uid="{00000000-0005-0000-0000-00006D000000}"/>
    <cellStyle name="_Heading_FORMAT K2 NOVEMBER 2008 SVIZZERA_20100324_Appl Planning_CC-B" xfId="122" xr:uid="{00000000-0005-0000-0000-00006E000000}"/>
    <cellStyle name="_Heading_FORMAT K2 NOVEMBER 2008 SVIZZERA_20100520_Appl Planning_CC-B" xfId="123" xr:uid="{00000000-0005-0000-0000-00006F000000}"/>
    <cellStyle name="_Heading_FORMAT K2 NOVEMBER 2008 SVIZZERA_20100610_Appl Planning_CC-B" xfId="124" xr:uid="{00000000-0005-0000-0000-000070000000}"/>
    <cellStyle name="_Heading_FORMAT K2 NOVEMBER 2008 SVIZZERA_20100621_Appl Planning_CC-B" xfId="125" xr:uid="{00000000-0005-0000-0000-000071000000}"/>
    <cellStyle name="_Heading_FORMAT K2 NOVEMBER 2008 SVIZZERA_20100716_Appl Planning_CC-B" xfId="126" xr:uid="{00000000-0005-0000-0000-000072000000}"/>
    <cellStyle name="_Heading_FORMAT K2 NOVEMBER 2008 SVIZZERA_20100916_Appl Planning_CC-B" xfId="127" xr:uid="{00000000-0005-0000-0000-000073000000}"/>
    <cellStyle name="_Heading_FORMAT K2 NOVEMBER 2008_20100209_Appl Planning_CC-B" xfId="128" xr:uid="{00000000-0005-0000-0000-000074000000}"/>
    <cellStyle name="_Heading_FORMAT K2 NOVEMBER 2008_20100324_Appl Planning_CC-B" xfId="129" xr:uid="{00000000-0005-0000-0000-000075000000}"/>
    <cellStyle name="_Heading_FORMAT K2 NOVEMBER 2008_20100520_Appl Planning_CC-B" xfId="130" xr:uid="{00000000-0005-0000-0000-000076000000}"/>
    <cellStyle name="_Heading_FORMAT K2 NOVEMBER 2008_20100610_Appl Planning_CC-B" xfId="131" xr:uid="{00000000-0005-0000-0000-000077000000}"/>
    <cellStyle name="_Heading_FORMAT K2 NOVEMBER 2008_20100621_Appl Planning_CC-B" xfId="132" xr:uid="{00000000-0005-0000-0000-000078000000}"/>
    <cellStyle name="_Heading_FORMAT K2 NOVEMBER 2008_20100716_Appl Planning_CC-B" xfId="133" xr:uid="{00000000-0005-0000-0000-000079000000}"/>
    <cellStyle name="_Heading_FORMAT K2 NOVEMBER 2008_20100916_Appl Planning_CC-B" xfId="134" xr:uid="{00000000-0005-0000-0000-00007A000000}"/>
    <cellStyle name="_Heading_FORMAT K2 OCTOBER 2008 BELGIO (2)" xfId="135" xr:uid="{00000000-0005-0000-0000-00007B000000}"/>
    <cellStyle name="_Heading_FORMAT K2 OCTOBER 2008 BELGIO (2)_20100209_Appl Planning_CC-B" xfId="136" xr:uid="{00000000-0005-0000-0000-00007C000000}"/>
    <cellStyle name="_Heading_FORMAT K2 OCTOBER 2008 BELGIO (2)_20100324_Appl Planning_CC-B" xfId="137" xr:uid="{00000000-0005-0000-0000-00007D000000}"/>
    <cellStyle name="_Heading_FORMAT K2 OCTOBER 2008 BELGIO (2)_20100520_Appl Planning_CC-B" xfId="138" xr:uid="{00000000-0005-0000-0000-00007E000000}"/>
    <cellStyle name="_Heading_FORMAT K2 OCTOBER 2008 BELGIO (2)_20100610_Appl Planning_CC-B" xfId="139" xr:uid="{00000000-0005-0000-0000-00007F000000}"/>
    <cellStyle name="_Heading_FORMAT K2 OCTOBER 2008 BELGIO (2)_20100621_Appl Planning_CC-B" xfId="140" xr:uid="{00000000-0005-0000-0000-000080000000}"/>
    <cellStyle name="_Heading_FORMAT K2 OCTOBER 2008 BELGIO (2)_20100716_Appl Planning_CC-B" xfId="141" xr:uid="{00000000-0005-0000-0000-000081000000}"/>
    <cellStyle name="_Heading_FORMAT K2 OCTOBER 2008 BELGIO (2)_20100916_Appl Planning_CC-B" xfId="142" xr:uid="{00000000-0005-0000-0000-000082000000}"/>
    <cellStyle name="_Heading_FORMAT K2 OCTOBER 2008 SPAGNA (2)" xfId="143" xr:uid="{00000000-0005-0000-0000-000083000000}"/>
    <cellStyle name="_Heading_FORMAT K2 OCTOBER 2008 SPAGNA (2)_20100209_Appl Planning_CC-B" xfId="144" xr:uid="{00000000-0005-0000-0000-000084000000}"/>
    <cellStyle name="_Heading_FORMAT K2 OCTOBER 2008 SPAGNA (2)_20100324_Appl Planning_CC-B" xfId="145" xr:uid="{00000000-0005-0000-0000-000085000000}"/>
    <cellStyle name="_Heading_FORMAT K2 OCTOBER 2008 SPAGNA (2)_20100520_Appl Planning_CC-B" xfId="146" xr:uid="{00000000-0005-0000-0000-000086000000}"/>
    <cellStyle name="_Heading_FORMAT K2 OCTOBER 2008 SPAGNA (2)_20100610_Appl Planning_CC-B" xfId="147" xr:uid="{00000000-0005-0000-0000-000087000000}"/>
    <cellStyle name="_Heading_FORMAT K2 OCTOBER 2008 SPAGNA (2)_20100621_Appl Planning_CC-B" xfId="148" xr:uid="{00000000-0005-0000-0000-000088000000}"/>
    <cellStyle name="_Heading_FORMAT K2 OCTOBER 2008 SPAGNA (2)_20100716_Appl Planning_CC-B" xfId="149" xr:uid="{00000000-0005-0000-0000-000089000000}"/>
    <cellStyle name="_Heading_FORMAT K2 OCTOBER 2008 SPAGNA (2)_20100916_Appl Planning_CC-B" xfId="150" xr:uid="{00000000-0005-0000-0000-00008A000000}"/>
    <cellStyle name="_Heading_K2 DEC" xfId="151" xr:uid="{00000000-0005-0000-0000-00008B000000}"/>
    <cellStyle name="_Heading_K2 DEC_20100209_Appl Planning_CC-B" xfId="152" xr:uid="{00000000-0005-0000-0000-00008C000000}"/>
    <cellStyle name="_Heading_K2 DEC_20100324_Appl Planning_CC-B" xfId="153" xr:uid="{00000000-0005-0000-0000-00008D000000}"/>
    <cellStyle name="_Heading_K2 DEC_20100520_Appl Planning_CC-B" xfId="154" xr:uid="{00000000-0005-0000-0000-00008E000000}"/>
    <cellStyle name="_Heading_K2 DEC_20100610_Appl Planning_CC-B" xfId="155" xr:uid="{00000000-0005-0000-0000-00008F000000}"/>
    <cellStyle name="_Heading_K2 DEC_20100621_Appl Planning_CC-B" xfId="156" xr:uid="{00000000-0005-0000-0000-000090000000}"/>
    <cellStyle name="_Heading_K2 DEC_20100716_Appl Planning_CC-B" xfId="157" xr:uid="{00000000-0005-0000-0000-000091000000}"/>
    <cellStyle name="_Heading_K2 DEC_20100916_Appl Planning_CC-B" xfId="158" xr:uid="{00000000-0005-0000-0000-000092000000}"/>
    <cellStyle name="_Heading_K2 décembre 2008 - version MCLT" xfId="159" xr:uid="{00000000-0005-0000-0000-000093000000}"/>
    <cellStyle name="_Heading_K2 décembre 2008 - version MCLT_20100209_Appl Planning_CC-B" xfId="160" xr:uid="{00000000-0005-0000-0000-000094000000}"/>
    <cellStyle name="_Heading_K2 décembre 2008 - version MCLT_20100324_Appl Planning_CC-B" xfId="161" xr:uid="{00000000-0005-0000-0000-000095000000}"/>
    <cellStyle name="_Heading_K2 décembre 2008 - version MCLT_20100520_Appl Planning_CC-B" xfId="162" xr:uid="{00000000-0005-0000-0000-000096000000}"/>
    <cellStyle name="_Heading_K2 décembre 2008 - version MCLT_20100610_Appl Planning_CC-B" xfId="163" xr:uid="{00000000-0005-0000-0000-000097000000}"/>
    <cellStyle name="_Heading_K2 décembre 2008 - version MCLT_20100621_Appl Planning_CC-B" xfId="164" xr:uid="{00000000-0005-0000-0000-000098000000}"/>
    <cellStyle name="_Heading_K2 décembre 2008 - version MCLT_20100716_Appl Planning_CC-B" xfId="165" xr:uid="{00000000-0005-0000-0000-000099000000}"/>
    <cellStyle name="_Heading_K2 décembre 2008 - version MCLT_20100916_Appl Planning_CC-B" xfId="166" xr:uid="{00000000-0005-0000-0000-00009A000000}"/>
    <cellStyle name="_Heading_K2 Mars 2009" xfId="167" xr:uid="{00000000-0005-0000-0000-00009B000000}"/>
    <cellStyle name="_Heading_K2 NOV" xfId="168" xr:uid="{00000000-0005-0000-0000-00009C000000}"/>
    <cellStyle name="_Heading_K2 NOV_20100209_Appl Planning_CC-B" xfId="169" xr:uid="{00000000-0005-0000-0000-00009D000000}"/>
    <cellStyle name="_Heading_K2 NOV_20100324_Appl Planning_CC-B" xfId="170" xr:uid="{00000000-0005-0000-0000-00009E000000}"/>
    <cellStyle name="_Heading_K2 NOV_20100520_Appl Planning_CC-B" xfId="171" xr:uid="{00000000-0005-0000-0000-00009F000000}"/>
    <cellStyle name="_Heading_K2 NOV_20100610_Appl Planning_CC-B" xfId="172" xr:uid="{00000000-0005-0000-0000-0000A0000000}"/>
    <cellStyle name="_Heading_K2 NOV_20100621_Appl Planning_CC-B" xfId="173" xr:uid="{00000000-0005-0000-0000-0000A1000000}"/>
    <cellStyle name="_Heading_K2 NOV_20100716_Appl Planning_CC-B" xfId="174" xr:uid="{00000000-0005-0000-0000-0000A2000000}"/>
    <cellStyle name="_Heading_K2 NOV_20100916_Appl Planning_CC-B" xfId="175" xr:uid="{00000000-0005-0000-0000-0000A3000000}"/>
    <cellStyle name="_Heading_k2-Austria FKA 05 DF update 2009-01 (4)" xfId="176" xr:uid="{00000000-0005-0000-0000-0000A4000000}"/>
    <cellStyle name="_Heading_k2-Austria FKA 05 DF update 2009-01 (4)_20100209_Appl Planning_CC-B" xfId="177" xr:uid="{00000000-0005-0000-0000-0000A5000000}"/>
    <cellStyle name="_Heading_k2-Austria FKA 05 DF update 2009-01 (4)_20100324_Appl Planning_CC-B" xfId="178" xr:uid="{00000000-0005-0000-0000-0000A6000000}"/>
    <cellStyle name="_Heading_k2-Austria FKA 05 DF update 2009-01 (4)_20100520_Appl Planning_CC-B" xfId="179" xr:uid="{00000000-0005-0000-0000-0000A7000000}"/>
    <cellStyle name="_Heading_k2-Austria FKA 05 DF update 2009-01 (4)_20100610_Appl Planning_CC-B" xfId="180" xr:uid="{00000000-0005-0000-0000-0000A8000000}"/>
    <cellStyle name="_Heading_k2-Austria FKA 05 DF update 2009-01 (4)_20100621_Appl Planning_CC-B" xfId="181" xr:uid="{00000000-0005-0000-0000-0000A9000000}"/>
    <cellStyle name="_Heading_k2-Austria FKA 05 DF update 2009-01 (4)_20100716_Appl Planning_CC-B" xfId="182" xr:uid="{00000000-0005-0000-0000-0000AA000000}"/>
    <cellStyle name="_Heading_k2-Austria FKA 05 DF update 2009-01 (4)_20100916_Appl Planning_CC-B" xfId="183" xr:uid="{00000000-0005-0000-0000-0000AB000000}"/>
    <cellStyle name="_Heading_k2-Austria FKA 05 DF update 2009-03" xfId="184" xr:uid="{00000000-0005-0000-0000-0000AC000000}"/>
    <cellStyle name="_Heading_k2-Austria FKA 05 DF update 2009-03_20100209_Appl Planning_CC-B" xfId="185" xr:uid="{00000000-0005-0000-0000-0000AD000000}"/>
    <cellStyle name="_Heading_k2-Austria FKA 05 DF update 2009-03_20100324_Appl Planning_CC-B" xfId="186" xr:uid="{00000000-0005-0000-0000-0000AE000000}"/>
    <cellStyle name="_Heading_k2-Austria FKA 05 DF update 2009-03_20100520_Appl Planning_CC-B" xfId="187" xr:uid="{00000000-0005-0000-0000-0000AF000000}"/>
    <cellStyle name="_Heading_k2-Austria FKA 05 DF update 2009-03_20100610_Appl Planning_CC-B" xfId="188" xr:uid="{00000000-0005-0000-0000-0000B0000000}"/>
    <cellStyle name="_Heading_k2-Austria FKA 05 DF update 2009-03_20100621_Appl Planning_CC-B" xfId="189" xr:uid="{00000000-0005-0000-0000-0000B1000000}"/>
    <cellStyle name="_Heading_k2-Austria FKA 05 DF update 2009-03_20100716_Appl Planning_CC-B" xfId="190" xr:uid="{00000000-0005-0000-0000-0000B2000000}"/>
    <cellStyle name="_Heading_k2-Austria FKA 05 DF update 2009-03_20100916_Appl Planning_CC-B" xfId="191" xr:uid="{00000000-0005-0000-0000-0000B3000000}"/>
    <cellStyle name="_Heading_new 5 07 DE" xfId="192" xr:uid="{00000000-0005-0000-0000-0000B4000000}"/>
    <cellStyle name="_Heading_new 5 07 DE_20100209_Appl Planning_CC-B" xfId="193" xr:uid="{00000000-0005-0000-0000-0000B5000000}"/>
    <cellStyle name="_Heading_new 5 07 DE_20100324_Appl Planning_CC-B" xfId="194" xr:uid="{00000000-0005-0000-0000-0000B6000000}"/>
    <cellStyle name="_Heading_new 5 07 DE_20100520_Appl Planning_CC-B" xfId="195" xr:uid="{00000000-0005-0000-0000-0000B7000000}"/>
    <cellStyle name="_Heading_new 5 07 DE_20100610_Appl Planning_CC-B" xfId="196" xr:uid="{00000000-0005-0000-0000-0000B8000000}"/>
    <cellStyle name="_Heading_new 5 07 DE_20100621_Appl Planning_CC-B" xfId="197" xr:uid="{00000000-0005-0000-0000-0000B9000000}"/>
    <cellStyle name="_Heading_new 5 07 DE_20100716_Appl Planning_CC-B" xfId="198" xr:uid="{00000000-0005-0000-0000-0000BA000000}"/>
    <cellStyle name="_Heading_new 5 07 DE_20100916_Appl Planning_CC-B" xfId="199" xr:uid="{00000000-0005-0000-0000-0000BB000000}"/>
    <cellStyle name="_Heading_overplafond" xfId="200" xr:uid="{00000000-0005-0000-0000-0000BC000000}"/>
    <cellStyle name="_Heading_overplafond_20100209_Appl Planning_CC-B" xfId="201" xr:uid="{00000000-0005-0000-0000-0000BD000000}"/>
    <cellStyle name="_Heading_overplafond_20100324_Appl Planning_CC-B" xfId="202" xr:uid="{00000000-0005-0000-0000-0000BE000000}"/>
    <cellStyle name="_Heading_overplafond_20100520_Appl Planning_CC-B" xfId="203" xr:uid="{00000000-0005-0000-0000-0000BF000000}"/>
    <cellStyle name="_Heading_overplafond_20100610_Appl Planning_CC-B" xfId="204" xr:uid="{00000000-0005-0000-0000-0000C0000000}"/>
    <cellStyle name="_Heading_overplafond_20100621_Appl Planning_CC-B" xfId="205" xr:uid="{00000000-0005-0000-0000-0000C1000000}"/>
    <cellStyle name="_Heading_overplafond_20100716_Appl Planning_CC-B" xfId="206" xr:uid="{00000000-0005-0000-0000-0000C2000000}"/>
    <cellStyle name="_Heading_overplafond_20100916_Appl Planning_CC-B" xfId="207" xr:uid="{00000000-0005-0000-0000-0000C3000000}"/>
    <cellStyle name="_Heading_préparatifs 5-07" xfId="208" xr:uid="{00000000-0005-0000-0000-0000C4000000}"/>
    <cellStyle name="_Heading_préparatifs 5-07_20100209_Appl Planning_CC-B" xfId="209" xr:uid="{00000000-0005-0000-0000-0000C5000000}"/>
    <cellStyle name="_Heading_préparatifs 5-07_20100324_Appl Planning_CC-B" xfId="210" xr:uid="{00000000-0005-0000-0000-0000C6000000}"/>
    <cellStyle name="_Heading_préparatifs 5-07_20100520_Appl Planning_CC-B" xfId="211" xr:uid="{00000000-0005-0000-0000-0000C7000000}"/>
    <cellStyle name="_Heading_préparatifs 5-07_20100610_Appl Planning_CC-B" xfId="212" xr:uid="{00000000-0005-0000-0000-0000C8000000}"/>
    <cellStyle name="_Heading_préparatifs 5-07_20100621_Appl Planning_CC-B" xfId="213" xr:uid="{00000000-0005-0000-0000-0000C9000000}"/>
    <cellStyle name="_Heading_préparatifs 5-07_20100716_Appl Planning_CC-B" xfId="214" xr:uid="{00000000-0005-0000-0000-0000CA000000}"/>
    <cellStyle name="_Heading_préparatifs 5-07_20100916_Appl Planning_CC-B" xfId="215" xr:uid="{00000000-0005-0000-0000-0000CB000000}"/>
    <cellStyle name="_Heading_Sheet 5.05b" xfId="216" xr:uid="{00000000-0005-0000-0000-0000CC000000}"/>
    <cellStyle name="_Heading_Sheet 5.05b_5.07" xfId="217" xr:uid="{00000000-0005-0000-0000-0000CD000000}"/>
    <cellStyle name="_Heading_Sheet 5.05b_5.07 janvier" xfId="218" xr:uid="{00000000-0005-0000-0000-0000CE000000}"/>
    <cellStyle name="_Heading_Sheet 5.05b_base 5 07 per k2 dei dati di gennaio 2009" xfId="219" xr:uid="{00000000-0005-0000-0000-0000CF000000}"/>
    <cellStyle name="_Heading_Sheet 5.05b_Copie de Fichier K2 30_11_08" xfId="220" xr:uid="{00000000-0005-0000-0000-0000D0000000}"/>
    <cellStyle name="_Heading_Sheet 5.05b_Copie de FORMAT K2 31 01 09" xfId="221" xr:uid="{00000000-0005-0000-0000-0000D1000000}"/>
    <cellStyle name="_Heading_Sheet 5.05b_Critical still operating 090531" xfId="222" xr:uid="{00000000-0005-0000-0000-0000D2000000}"/>
    <cellStyle name="_Heading_Sheet 5.05b_FGA ENCOURS ET FACTURES 2 06 2009" xfId="223" xr:uid="{00000000-0005-0000-0000-0000D3000000}"/>
    <cellStyle name="_Heading_Sheet 5.05b_Fichier K2 28_02_09" xfId="224" xr:uid="{00000000-0005-0000-0000-0000D4000000}"/>
    <cellStyle name="_Heading_Sheet 5.05b_Fichier K2 30_04_09" xfId="225" xr:uid="{00000000-0005-0000-0000-0000D5000000}"/>
    <cellStyle name="_Heading_Sheet 5.05b_Fichier K2 31_01_09" xfId="226" xr:uid="{00000000-0005-0000-0000-0000D6000000}"/>
    <cellStyle name="_Heading_Sheet 5.05b_Fichier K2 31_03_09" xfId="227" xr:uid="{00000000-0005-0000-0000-0000D7000000}"/>
    <cellStyle name="_Heading_Sheet 5.05b_Fichier K2 31_05_09" xfId="228" xr:uid="{00000000-0005-0000-0000-0000D8000000}"/>
    <cellStyle name="_Heading_Sheet 5.05b_Fichier K2 31_12_08" xfId="229" xr:uid="{00000000-0005-0000-0000-0000D9000000}"/>
    <cellStyle name="_Heading_Sheet 5.05b_FORMAT K2 30 11 08" xfId="230" xr:uid="{00000000-0005-0000-0000-0000DA000000}"/>
    <cellStyle name="_Heading_Sheet 5.05b_FORMAT K2 30 11 08 (12)" xfId="231" xr:uid="{00000000-0005-0000-0000-0000DB000000}"/>
    <cellStyle name="_Heading_Sheet 5.05b_FORMAT K2 30 11 08 (13)" xfId="232" xr:uid="{00000000-0005-0000-0000-0000DC000000}"/>
    <cellStyle name="_Heading_Sheet 5.05b_FORMAT K2 30 11 08 (14)" xfId="233" xr:uid="{00000000-0005-0000-0000-0000DD000000}"/>
    <cellStyle name="_Heading_Sheet 5.05b_FORMAT K2 30 11 08 (15)" xfId="234" xr:uid="{00000000-0005-0000-0000-0000DE000000}"/>
    <cellStyle name="_Heading_Sheet 5.05b_FORMAT K2 30 11 08 (16)" xfId="235" xr:uid="{00000000-0005-0000-0000-0000DF000000}"/>
    <cellStyle name="_Heading_Sheet 5.05b_FORMAT K2 30 11 08 (17)" xfId="236" xr:uid="{00000000-0005-0000-0000-0000E0000000}"/>
    <cellStyle name="_Heading_Sheet 5.05b_FORMAT K2 30 11 08 (18)" xfId="237" xr:uid="{00000000-0005-0000-0000-0000E1000000}"/>
    <cellStyle name="_Heading_Sheet 5.05b_FORMAT K2 30 11 08 (19)" xfId="238" xr:uid="{00000000-0005-0000-0000-0000E2000000}"/>
    <cellStyle name="_Heading_Sheet 5.05b_FORMAT K2 30 11 08 (20)" xfId="239" xr:uid="{00000000-0005-0000-0000-0000E3000000}"/>
    <cellStyle name="_Heading_Sheet 5.05b_FORMAT K2 31 01 09" xfId="240" xr:uid="{00000000-0005-0000-0000-0000E4000000}"/>
    <cellStyle name="_Heading_Sheet 5.05b_FORMAT K2 31 01 09 (14)" xfId="241" xr:uid="{00000000-0005-0000-0000-0000E5000000}"/>
    <cellStyle name="_Heading_Sheet 5.05b_FORMAT K2 31 01 09 (22)" xfId="242" xr:uid="{00000000-0005-0000-0000-0000E6000000}"/>
    <cellStyle name="_Heading_Sheet 5.05b_FORMAT K2 31 03 09 UK" xfId="243" xr:uid="{00000000-0005-0000-0000-0000E7000000}"/>
    <cellStyle name="_Heading_Sheet 5.05b_FORMAT K2 31 05 09 FRANCE" xfId="244" xr:uid="{00000000-0005-0000-0000-0000E8000000}"/>
    <cellStyle name="_Heading_Sheet 5.05b_FORMAT K2 31 12 08" xfId="245" xr:uid="{00000000-0005-0000-0000-0000E9000000}"/>
    <cellStyle name="_Heading_Sheet 5.05b_FORMAT K2 31 12 08 (2)" xfId="246" xr:uid="{00000000-0005-0000-0000-0000EA000000}"/>
    <cellStyle name="_Heading_Sheet 5.05b_FORMAT K2 31 12 08 (3)" xfId="247" xr:uid="{00000000-0005-0000-0000-0000EB000000}"/>
    <cellStyle name="_Heading_Sheet 5.05b_FORMAT K2 31 12 08 (4)" xfId="248" xr:uid="{00000000-0005-0000-0000-0000EC000000}"/>
    <cellStyle name="_Heading_Sheet 5.05b_FORMAT K2 31 12 08 (5)" xfId="249" xr:uid="{00000000-0005-0000-0000-0000ED000000}"/>
    <cellStyle name="_Heading_Sheet 5.05b_FORMAT K2 31 12 08 (6)" xfId="250" xr:uid="{00000000-0005-0000-0000-0000EE000000}"/>
    <cellStyle name="_Heading_Sheet 5.05b_FORMAT K2 31 12 08 (7)" xfId="251" xr:uid="{00000000-0005-0000-0000-0000EF000000}"/>
    <cellStyle name="_Heading_Sheet 5.05b_FORMAT K2 31 12 08 (8)" xfId="252" xr:uid="{00000000-0005-0000-0000-0000F0000000}"/>
    <cellStyle name="_Heading_Sheet 5.05b_FORMAT K2 ENERO (6)" xfId="253" xr:uid="{00000000-0005-0000-0000-0000F1000000}"/>
    <cellStyle name="_Heading_Sheet 5.05b_K2 April 2009" xfId="254" xr:uid="{00000000-0005-0000-0000-0000F2000000}"/>
    <cellStyle name="_Heading_Sheet 5.05b_K2 av 2009 - version MCLT" xfId="255" xr:uid="{00000000-0005-0000-0000-0000F3000000}"/>
    <cellStyle name="_Heading_Sheet 5.05b_K2 December 2008" xfId="256" xr:uid="{00000000-0005-0000-0000-0000F4000000}"/>
    <cellStyle name="_Heading_Sheet 5.05b_K2 February 2009" xfId="257" xr:uid="{00000000-0005-0000-0000-0000F5000000}"/>
    <cellStyle name="_Heading_Sheet 5.05b_K2 January 2009 (3)" xfId="258" xr:uid="{00000000-0005-0000-0000-0000F6000000}"/>
    <cellStyle name="_Heading_Sheet 5.05b_K2 mai 2009 - version MCLT" xfId="259" xr:uid="{00000000-0005-0000-0000-0000F7000000}"/>
    <cellStyle name="_Heading_Sheet 5.05b_K2 Mars 2009" xfId="260" xr:uid="{00000000-0005-0000-0000-0000F8000000}"/>
    <cellStyle name="_Heading_Sheet 5.05b_K2 November 2008 Francia" xfId="261" xr:uid="{00000000-0005-0000-0000-0000F9000000}"/>
    <cellStyle name="_Heading_Sheet 5.05b_preparatifs 5.07" xfId="262" xr:uid="{00000000-0005-0000-0000-0000FA000000}"/>
    <cellStyle name="_Heading_Sheet 5.05b_preparatifs 5.22-23" xfId="263" xr:uid="{00000000-0005-0000-0000-0000FB000000}"/>
    <cellStyle name="_Heading_Sheet 5.05b_préparatifs 5-07" xfId="264" xr:uid="{00000000-0005-0000-0000-0000FC000000}"/>
    <cellStyle name="_Highlight" xfId="265" xr:uid="{00000000-0005-0000-0000-0000FD000000}"/>
    <cellStyle name="_Multiple" xfId="266" xr:uid="{00000000-0005-0000-0000-0000FE000000}"/>
    <cellStyle name="_MultipleSpace" xfId="267" xr:uid="{00000000-0005-0000-0000-0000FF000000}"/>
    <cellStyle name="_SubHeading" xfId="268" xr:uid="{00000000-0005-0000-0000-000000010000}"/>
    <cellStyle name="_SubHeading_20081202 - Austria" xfId="269" xr:uid="{00000000-0005-0000-0000-000001010000}"/>
    <cellStyle name="_SubHeading_20081202 - Austria_20100209_Appl Planning_CC-B" xfId="270" xr:uid="{00000000-0005-0000-0000-000002010000}"/>
    <cellStyle name="_SubHeading_20081202 - Austria_20100324_Appl Planning_CC-B" xfId="271" xr:uid="{00000000-0005-0000-0000-000003010000}"/>
    <cellStyle name="_SubHeading_20081202 - Austria_20100520_Appl Planning_CC-B" xfId="272" xr:uid="{00000000-0005-0000-0000-000004010000}"/>
    <cellStyle name="_SubHeading_20081202 - Austria_20100610_Appl Planning_CC-B" xfId="273" xr:uid="{00000000-0005-0000-0000-000005010000}"/>
    <cellStyle name="_SubHeading_20081202 - Austria_20100621_Appl Planning_CC-B" xfId="274" xr:uid="{00000000-0005-0000-0000-000006010000}"/>
    <cellStyle name="_SubHeading_20081202 - Austria_20100716_Appl Planning_CC-B" xfId="275" xr:uid="{00000000-0005-0000-0000-000007010000}"/>
    <cellStyle name="_SubHeading_20081202 - Austria_20100916_Appl Planning_CC-B" xfId="276" xr:uid="{00000000-0005-0000-0000-000008010000}"/>
    <cellStyle name="_SubHeading_20081202 - Denmark" xfId="277" xr:uid="{00000000-0005-0000-0000-000009010000}"/>
    <cellStyle name="_SubHeading_20081202 - Denmark_20100209_Appl Planning_CC-B" xfId="278" xr:uid="{00000000-0005-0000-0000-00000A010000}"/>
    <cellStyle name="_SubHeading_20081202 - Denmark_20100324_Appl Planning_CC-B" xfId="279" xr:uid="{00000000-0005-0000-0000-00000B010000}"/>
    <cellStyle name="_SubHeading_20081202 - Denmark_20100520_Appl Planning_CC-B" xfId="280" xr:uid="{00000000-0005-0000-0000-00000C010000}"/>
    <cellStyle name="_SubHeading_20081202 - Denmark_20100610_Appl Planning_CC-B" xfId="281" xr:uid="{00000000-0005-0000-0000-00000D010000}"/>
    <cellStyle name="_SubHeading_20081202 - Denmark_20100621_Appl Planning_CC-B" xfId="282" xr:uid="{00000000-0005-0000-0000-00000E010000}"/>
    <cellStyle name="_SubHeading_20081202 - Denmark_20100716_Appl Planning_CC-B" xfId="283" xr:uid="{00000000-0005-0000-0000-00000F010000}"/>
    <cellStyle name="_SubHeading_20081202 - Denmark_20100916_Appl Planning_CC-B" xfId="284" xr:uid="{00000000-0005-0000-0000-000010010000}"/>
    <cellStyle name="_SubHeading_20081202 - Poland" xfId="285" xr:uid="{00000000-0005-0000-0000-000011010000}"/>
    <cellStyle name="_SubHeading_20081202 - Poland_20100209_Appl Planning_CC-B" xfId="286" xr:uid="{00000000-0005-0000-0000-000012010000}"/>
    <cellStyle name="_SubHeading_20081202 - Poland_20100324_Appl Planning_CC-B" xfId="287" xr:uid="{00000000-0005-0000-0000-000013010000}"/>
    <cellStyle name="_SubHeading_20081202 - Poland_20100520_Appl Planning_CC-B" xfId="288" xr:uid="{00000000-0005-0000-0000-000014010000}"/>
    <cellStyle name="_SubHeading_20081202 - Poland_20100610_Appl Planning_CC-B" xfId="289" xr:uid="{00000000-0005-0000-0000-000015010000}"/>
    <cellStyle name="_SubHeading_20081202 - Poland_20100621_Appl Planning_CC-B" xfId="290" xr:uid="{00000000-0005-0000-0000-000016010000}"/>
    <cellStyle name="_SubHeading_20081202 - Poland_20100716_Appl Planning_CC-B" xfId="291" xr:uid="{00000000-0005-0000-0000-000017010000}"/>
    <cellStyle name="_SubHeading_20081202 - Poland_20100916_Appl Planning_CC-B" xfId="292" xr:uid="{00000000-0005-0000-0000-000018010000}"/>
    <cellStyle name="_SubHeading_5 07 inviato per novembre al mercato" xfId="293" xr:uid="{00000000-0005-0000-0000-000019010000}"/>
    <cellStyle name="_SubHeading_5 07 inviato per novembre al mercato_20100209_Appl Planning_CC-B" xfId="294" xr:uid="{00000000-0005-0000-0000-00001A010000}"/>
    <cellStyle name="_SubHeading_5 07 inviato per novembre al mercato_20100324_Appl Planning_CC-B" xfId="295" xr:uid="{00000000-0005-0000-0000-00001B010000}"/>
    <cellStyle name="_SubHeading_5 07 inviato per novembre al mercato_20100520_Appl Planning_CC-B" xfId="296" xr:uid="{00000000-0005-0000-0000-00001C010000}"/>
    <cellStyle name="_SubHeading_5 07 inviato per novembre al mercato_20100610_Appl Planning_CC-B" xfId="297" xr:uid="{00000000-0005-0000-0000-00001D010000}"/>
    <cellStyle name="_SubHeading_5 07 inviato per novembre al mercato_20100621_Appl Planning_CC-B" xfId="298" xr:uid="{00000000-0005-0000-0000-00001E010000}"/>
    <cellStyle name="_SubHeading_5 07 inviato per novembre al mercato_20100716_Appl Planning_CC-B" xfId="299" xr:uid="{00000000-0005-0000-0000-00001F010000}"/>
    <cellStyle name="_SubHeading_5 07 inviato per novembre al mercato_20100916_Appl Planning_CC-B" xfId="300" xr:uid="{00000000-0005-0000-0000-000020010000}"/>
    <cellStyle name="_SubHeading_5 07 k2 con dati di novembre" xfId="301" xr:uid="{00000000-0005-0000-0000-000021010000}"/>
    <cellStyle name="_SubHeading_5 07 k2 con dati di novembre_20100209_Appl Planning_CC-B" xfId="302" xr:uid="{00000000-0005-0000-0000-000022010000}"/>
    <cellStyle name="_SubHeading_5 07 k2 con dati di novembre_20100324_Appl Planning_CC-B" xfId="303" xr:uid="{00000000-0005-0000-0000-000023010000}"/>
    <cellStyle name="_SubHeading_5 07 k2 con dati di novembre_20100520_Appl Planning_CC-B" xfId="304" xr:uid="{00000000-0005-0000-0000-000024010000}"/>
    <cellStyle name="_SubHeading_5 07 k2 con dati di novembre_20100610_Appl Planning_CC-B" xfId="305" xr:uid="{00000000-0005-0000-0000-000025010000}"/>
    <cellStyle name="_SubHeading_5 07 k2 con dati di novembre_20100621_Appl Planning_CC-B" xfId="306" xr:uid="{00000000-0005-0000-0000-000026010000}"/>
    <cellStyle name="_SubHeading_5 07 k2 con dati di novembre_20100716_Appl Planning_CC-B" xfId="307" xr:uid="{00000000-0005-0000-0000-000027010000}"/>
    <cellStyle name="_SubHeading_5 07 k2 con dati di novembre_20100916_Appl Planning_CC-B" xfId="308" xr:uid="{00000000-0005-0000-0000-000028010000}"/>
    <cellStyle name="_SubHeading_Cartel1 (7)" xfId="309" xr:uid="{00000000-0005-0000-0000-000029010000}"/>
    <cellStyle name="_SubHeading_Cartel1 (7)_20100209_Appl Planning_CC-B" xfId="310" xr:uid="{00000000-0005-0000-0000-00002A010000}"/>
    <cellStyle name="_SubHeading_Cartel1 (7)_20100324_Appl Planning_CC-B" xfId="311" xr:uid="{00000000-0005-0000-0000-00002B010000}"/>
    <cellStyle name="_SubHeading_Cartel1 (7)_20100520_Appl Planning_CC-B" xfId="312" xr:uid="{00000000-0005-0000-0000-00002C010000}"/>
    <cellStyle name="_SubHeading_Cartel1 (7)_20100610_Appl Planning_CC-B" xfId="313" xr:uid="{00000000-0005-0000-0000-00002D010000}"/>
    <cellStyle name="_SubHeading_Cartel1 (7)_20100621_Appl Planning_CC-B" xfId="314" xr:uid="{00000000-0005-0000-0000-00002E010000}"/>
    <cellStyle name="_SubHeading_Cartel1 (7)_20100716_Appl Planning_CC-B" xfId="315" xr:uid="{00000000-0005-0000-0000-00002F010000}"/>
    <cellStyle name="_SubHeading_Cartel1 (7)_20100916_Appl Planning_CC-B" xfId="316" xr:uid="{00000000-0005-0000-0000-000030010000}"/>
    <cellStyle name="_SubHeading_Copie de K2 févrierr2009 - version MCLT" xfId="317" xr:uid="{00000000-0005-0000-0000-000031010000}"/>
    <cellStyle name="_SubHeading_Copie de K2 févrierr2009 - version MCLT_20100209_Appl Planning_CC-B" xfId="318" xr:uid="{00000000-0005-0000-0000-000032010000}"/>
    <cellStyle name="_SubHeading_Copie de K2 févrierr2009 - version MCLT_20100324_Appl Planning_CC-B" xfId="319" xr:uid="{00000000-0005-0000-0000-000033010000}"/>
    <cellStyle name="_SubHeading_Copie de K2 févrierr2009 - version MCLT_20100520_Appl Planning_CC-B" xfId="320" xr:uid="{00000000-0005-0000-0000-000034010000}"/>
    <cellStyle name="_SubHeading_Copie de K2 févrierr2009 - version MCLT_20100610_Appl Planning_CC-B" xfId="321" xr:uid="{00000000-0005-0000-0000-000035010000}"/>
    <cellStyle name="_SubHeading_Copie de K2 févrierr2009 - version MCLT_20100621_Appl Planning_CC-B" xfId="322" xr:uid="{00000000-0005-0000-0000-000036010000}"/>
    <cellStyle name="_SubHeading_Copie de K2 févrierr2009 - version MCLT_20100716_Appl Planning_CC-B" xfId="323" xr:uid="{00000000-0005-0000-0000-000037010000}"/>
    <cellStyle name="_SubHeading_Copie de K2 févrierr2009 - version MCLT_20100916_Appl Planning_CC-B" xfId="324" xr:uid="{00000000-0005-0000-0000-000038010000}"/>
    <cellStyle name="_SubHeading_Copie de K2 mars 2009 - version MCLT" xfId="325" xr:uid="{00000000-0005-0000-0000-000039010000}"/>
    <cellStyle name="_SubHeading_Copie de K2 mars 2009 - version MCLT_20100209_Appl Planning_CC-B" xfId="326" xr:uid="{00000000-0005-0000-0000-00003A010000}"/>
    <cellStyle name="_SubHeading_Copie de K2 mars 2009 - version MCLT_20100324_Appl Planning_CC-B" xfId="327" xr:uid="{00000000-0005-0000-0000-00003B010000}"/>
    <cellStyle name="_SubHeading_Copie de K2 mars 2009 - version MCLT_20100520_Appl Planning_CC-B" xfId="328" xr:uid="{00000000-0005-0000-0000-00003C010000}"/>
    <cellStyle name="_SubHeading_Copie de K2 mars 2009 - version MCLT_20100610_Appl Planning_CC-B" xfId="329" xr:uid="{00000000-0005-0000-0000-00003D010000}"/>
    <cellStyle name="_SubHeading_Copie de K2 mars 2009 - version MCLT_20100621_Appl Planning_CC-B" xfId="330" xr:uid="{00000000-0005-0000-0000-00003E010000}"/>
    <cellStyle name="_SubHeading_Copie de K2 mars 2009 - version MCLT_20100716_Appl Planning_CC-B" xfId="331" xr:uid="{00000000-0005-0000-0000-00003F010000}"/>
    <cellStyle name="_SubHeading_Copie de K2 mars 2009 - version MCLT_20100916_Appl Planning_CC-B" xfId="332" xr:uid="{00000000-0005-0000-0000-000040010000}"/>
    <cellStyle name="_SubHeading_Copie de K2 novembre 2008 - version MCLT" xfId="333" xr:uid="{00000000-0005-0000-0000-000041010000}"/>
    <cellStyle name="_SubHeading_Copie de K2 novembre 2008 - version MCLT_20100209_Appl Planning_CC-B" xfId="334" xr:uid="{00000000-0005-0000-0000-000042010000}"/>
    <cellStyle name="_SubHeading_Copie de K2 novembre 2008 - version MCLT_20100324_Appl Planning_CC-B" xfId="335" xr:uid="{00000000-0005-0000-0000-000043010000}"/>
    <cellStyle name="_SubHeading_Copie de K2 novembre 2008 - version MCLT_20100520_Appl Planning_CC-B" xfId="336" xr:uid="{00000000-0005-0000-0000-000044010000}"/>
    <cellStyle name="_SubHeading_Copie de K2 novembre 2008 - version MCLT_20100610_Appl Planning_CC-B" xfId="337" xr:uid="{00000000-0005-0000-0000-000045010000}"/>
    <cellStyle name="_SubHeading_Copie de K2 novembre 2008 - version MCLT_20100621_Appl Planning_CC-B" xfId="338" xr:uid="{00000000-0005-0000-0000-000046010000}"/>
    <cellStyle name="_SubHeading_Copie de K2 novembre 2008 - version MCLT_20100716_Appl Planning_CC-B" xfId="339" xr:uid="{00000000-0005-0000-0000-000047010000}"/>
    <cellStyle name="_SubHeading_Copie de K2 novembre 2008 - version MCLT_20100916_Appl Planning_CC-B" xfId="340" xr:uid="{00000000-0005-0000-0000-000048010000}"/>
    <cellStyle name="_SubHeading_CRITICAL STILL OPERATING" xfId="341" xr:uid="{00000000-0005-0000-0000-000049010000}"/>
    <cellStyle name="_SubHeading_CRITICAL STILL OPERATING_20100209_Appl Planning_CC-B" xfId="342" xr:uid="{00000000-0005-0000-0000-00004A010000}"/>
    <cellStyle name="_SubHeading_CRITICAL STILL OPERATING_20100324_Appl Planning_CC-B" xfId="343" xr:uid="{00000000-0005-0000-0000-00004B010000}"/>
    <cellStyle name="_SubHeading_CRITICAL STILL OPERATING_20100520_Appl Planning_CC-B" xfId="344" xr:uid="{00000000-0005-0000-0000-00004C010000}"/>
    <cellStyle name="_SubHeading_CRITICAL STILL OPERATING_20100610_Appl Planning_CC-B" xfId="345" xr:uid="{00000000-0005-0000-0000-00004D010000}"/>
    <cellStyle name="_SubHeading_CRITICAL STILL OPERATING_20100621_Appl Planning_CC-B" xfId="346" xr:uid="{00000000-0005-0000-0000-00004E010000}"/>
    <cellStyle name="_SubHeading_CRITICAL STILL OPERATING_20100716_Appl Planning_CC-B" xfId="347" xr:uid="{00000000-0005-0000-0000-00004F010000}"/>
    <cellStyle name="_SubHeading_CRITICAL STILL OPERATING_20100916_Appl Planning_CC-B" xfId="348" xr:uid="{00000000-0005-0000-0000-000050010000}"/>
    <cellStyle name="_SubHeading_Feuil1" xfId="349" xr:uid="{00000000-0005-0000-0000-000051010000}"/>
    <cellStyle name="_SubHeading_FORMAT K2 NOVEMBER 2008" xfId="350" xr:uid="{00000000-0005-0000-0000-000052010000}"/>
    <cellStyle name="_SubHeading_FORMAT K2 NOVEMBER 2008 (2)" xfId="351" xr:uid="{00000000-0005-0000-0000-000053010000}"/>
    <cellStyle name="_SubHeading_FORMAT K2 NOVEMBER 2008 (2)_20100209_Appl Planning_CC-B" xfId="352" xr:uid="{00000000-0005-0000-0000-000054010000}"/>
    <cellStyle name="_SubHeading_FORMAT K2 NOVEMBER 2008 (2)_20100324_Appl Planning_CC-B" xfId="353" xr:uid="{00000000-0005-0000-0000-000055010000}"/>
    <cellStyle name="_SubHeading_FORMAT K2 NOVEMBER 2008 (2)_20100520_Appl Planning_CC-B" xfId="354" xr:uid="{00000000-0005-0000-0000-000056010000}"/>
    <cellStyle name="_SubHeading_FORMAT K2 NOVEMBER 2008 (2)_20100610_Appl Planning_CC-B" xfId="355" xr:uid="{00000000-0005-0000-0000-000057010000}"/>
    <cellStyle name="_SubHeading_FORMAT K2 NOVEMBER 2008 (2)_20100621_Appl Planning_CC-B" xfId="356" xr:uid="{00000000-0005-0000-0000-000058010000}"/>
    <cellStyle name="_SubHeading_FORMAT K2 NOVEMBER 2008 (2)_20100716_Appl Planning_CC-B" xfId="357" xr:uid="{00000000-0005-0000-0000-000059010000}"/>
    <cellStyle name="_SubHeading_FORMAT K2 NOVEMBER 2008 (2)_20100916_Appl Planning_CC-B" xfId="358" xr:uid="{00000000-0005-0000-0000-00005A010000}"/>
    <cellStyle name="_SubHeading_FORMAT K2 NOVEMBER 2008 (3)" xfId="359" xr:uid="{00000000-0005-0000-0000-00005B010000}"/>
    <cellStyle name="_SubHeading_FORMAT K2 NOVEMBER 2008 (3)_20100209_Appl Planning_CC-B" xfId="360" xr:uid="{00000000-0005-0000-0000-00005C010000}"/>
    <cellStyle name="_SubHeading_FORMAT K2 NOVEMBER 2008 (3)_20100324_Appl Planning_CC-B" xfId="361" xr:uid="{00000000-0005-0000-0000-00005D010000}"/>
    <cellStyle name="_SubHeading_FORMAT K2 NOVEMBER 2008 (3)_20100520_Appl Planning_CC-B" xfId="362" xr:uid="{00000000-0005-0000-0000-00005E010000}"/>
    <cellStyle name="_SubHeading_FORMAT K2 NOVEMBER 2008 (3)_20100610_Appl Planning_CC-B" xfId="363" xr:uid="{00000000-0005-0000-0000-00005F010000}"/>
    <cellStyle name="_SubHeading_FORMAT K2 NOVEMBER 2008 (3)_20100621_Appl Planning_CC-B" xfId="364" xr:uid="{00000000-0005-0000-0000-000060010000}"/>
    <cellStyle name="_SubHeading_FORMAT K2 NOVEMBER 2008 (3)_20100716_Appl Planning_CC-B" xfId="365" xr:uid="{00000000-0005-0000-0000-000061010000}"/>
    <cellStyle name="_SubHeading_FORMAT K2 NOVEMBER 2008 (3)_20100916_Appl Planning_CC-B" xfId="366" xr:uid="{00000000-0005-0000-0000-000062010000}"/>
    <cellStyle name="_SubHeading_FORMAT K2 NOVEMBER 2008 SVIZZERA" xfId="367" xr:uid="{00000000-0005-0000-0000-000063010000}"/>
    <cellStyle name="_SubHeading_FORMAT K2 NOVEMBER 2008 SVIZZERA_20100209_Appl Planning_CC-B" xfId="368" xr:uid="{00000000-0005-0000-0000-000064010000}"/>
    <cellStyle name="_SubHeading_FORMAT K2 NOVEMBER 2008 SVIZZERA_20100324_Appl Planning_CC-B" xfId="369" xr:uid="{00000000-0005-0000-0000-000065010000}"/>
    <cellStyle name="_SubHeading_FORMAT K2 NOVEMBER 2008 SVIZZERA_20100520_Appl Planning_CC-B" xfId="370" xr:uid="{00000000-0005-0000-0000-000066010000}"/>
    <cellStyle name="_SubHeading_FORMAT K2 NOVEMBER 2008 SVIZZERA_20100610_Appl Planning_CC-B" xfId="371" xr:uid="{00000000-0005-0000-0000-000067010000}"/>
    <cellStyle name="_SubHeading_FORMAT K2 NOVEMBER 2008 SVIZZERA_20100621_Appl Planning_CC-B" xfId="372" xr:uid="{00000000-0005-0000-0000-000068010000}"/>
    <cellStyle name="_SubHeading_FORMAT K2 NOVEMBER 2008 SVIZZERA_20100716_Appl Planning_CC-B" xfId="373" xr:uid="{00000000-0005-0000-0000-000069010000}"/>
    <cellStyle name="_SubHeading_FORMAT K2 NOVEMBER 2008 SVIZZERA_20100916_Appl Planning_CC-B" xfId="374" xr:uid="{00000000-0005-0000-0000-00006A010000}"/>
    <cellStyle name="_SubHeading_FORMAT K2 NOVEMBER 2008_20100209_Appl Planning_CC-B" xfId="375" xr:uid="{00000000-0005-0000-0000-00006B010000}"/>
    <cellStyle name="_SubHeading_FORMAT K2 NOVEMBER 2008_20100324_Appl Planning_CC-B" xfId="376" xr:uid="{00000000-0005-0000-0000-00006C010000}"/>
    <cellStyle name="_SubHeading_FORMAT K2 NOVEMBER 2008_20100520_Appl Planning_CC-B" xfId="377" xr:uid="{00000000-0005-0000-0000-00006D010000}"/>
    <cellStyle name="_SubHeading_FORMAT K2 NOVEMBER 2008_20100610_Appl Planning_CC-B" xfId="378" xr:uid="{00000000-0005-0000-0000-00006E010000}"/>
    <cellStyle name="_SubHeading_FORMAT K2 NOVEMBER 2008_20100621_Appl Planning_CC-B" xfId="379" xr:uid="{00000000-0005-0000-0000-00006F010000}"/>
    <cellStyle name="_SubHeading_FORMAT K2 NOVEMBER 2008_20100716_Appl Planning_CC-B" xfId="380" xr:uid="{00000000-0005-0000-0000-000070010000}"/>
    <cellStyle name="_SubHeading_FORMAT K2 NOVEMBER 2008_20100916_Appl Planning_CC-B" xfId="381" xr:uid="{00000000-0005-0000-0000-000071010000}"/>
    <cellStyle name="_SubHeading_FORMAT K2 OCTOBER 2008 BELGIO (2)" xfId="382" xr:uid="{00000000-0005-0000-0000-000072010000}"/>
    <cellStyle name="_SubHeading_FORMAT K2 OCTOBER 2008 BELGIO (2)_20100209_Appl Planning_CC-B" xfId="383" xr:uid="{00000000-0005-0000-0000-000073010000}"/>
    <cellStyle name="_SubHeading_FORMAT K2 OCTOBER 2008 BELGIO (2)_20100324_Appl Planning_CC-B" xfId="384" xr:uid="{00000000-0005-0000-0000-000074010000}"/>
    <cellStyle name="_SubHeading_FORMAT K2 OCTOBER 2008 BELGIO (2)_20100520_Appl Planning_CC-B" xfId="385" xr:uid="{00000000-0005-0000-0000-000075010000}"/>
    <cellStyle name="_SubHeading_FORMAT K2 OCTOBER 2008 BELGIO (2)_20100610_Appl Planning_CC-B" xfId="386" xr:uid="{00000000-0005-0000-0000-000076010000}"/>
    <cellStyle name="_SubHeading_FORMAT K2 OCTOBER 2008 BELGIO (2)_20100621_Appl Planning_CC-B" xfId="387" xr:uid="{00000000-0005-0000-0000-000077010000}"/>
    <cellStyle name="_SubHeading_FORMAT K2 OCTOBER 2008 BELGIO (2)_20100716_Appl Planning_CC-B" xfId="388" xr:uid="{00000000-0005-0000-0000-000078010000}"/>
    <cellStyle name="_SubHeading_FORMAT K2 OCTOBER 2008 BELGIO (2)_20100916_Appl Planning_CC-B" xfId="389" xr:uid="{00000000-0005-0000-0000-000079010000}"/>
    <cellStyle name="_SubHeading_FORMAT K2 OCTOBER 2008 SPAGNA (2)" xfId="390" xr:uid="{00000000-0005-0000-0000-00007A010000}"/>
    <cellStyle name="_SubHeading_FORMAT K2 OCTOBER 2008 SPAGNA (2)_20100209_Appl Planning_CC-B" xfId="391" xr:uid="{00000000-0005-0000-0000-00007B010000}"/>
    <cellStyle name="_SubHeading_FORMAT K2 OCTOBER 2008 SPAGNA (2)_20100324_Appl Planning_CC-B" xfId="392" xr:uid="{00000000-0005-0000-0000-00007C010000}"/>
    <cellStyle name="_SubHeading_FORMAT K2 OCTOBER 2008 SPAGNA (2)_20100520_Appl Planning_CC-B" xfId="393" xr:uid="{00000000-0005-0000-0000-00007D010000}"/>
    <cellStyle name="_SubHeading_FORMAT K2 OCTOBER 2008 SPAGNA (2)_20100610_Appl Planning_CC-B" xfId="394" xr:uid="{00000000-0005-0000-0000-00007E010000}"/>
    <cellStyle name="_SubHeading_FORMAT K2 OCTOBER 2008 SPAGNA (2)_20100621_Appl Planning_CC-B" xfId="395" xr:uid="{00000000-0005-0000-0000-00007F010000}"/>
    <cellStyle name="_SubHeading_FORMAT K2 OCTOBER 2008 SPAGNA (2)_20100716_Appl Planning_CC-B" xfId="396" xr:uid="{00000000-0005-0000-0000-000080010000}"/>
    <cellStyle name="_SubHeading_FORMAT K2 OCTOBER 2008 SPAGNA (2)_20100916_Appl Planning_CC-B" xfId="397" xr:uid="{00000000-0005-0000-0000-000081010000}"/>
    <cellStyle name="_SubHeading_K2 DEC" xfId="398" xr:uid="{00000000-0005-0000-0000-000082010000}"/>
    <cellStyle name="_SubHeading_K2 DEC_20100209_Appl Planning_CC-B" xfId="399" xr:uid="{00000000-0005-0000-0000-000083010000}"/>
    <cellStyle name="_SubHeading_K2 DEC_20100324_Appl Planning_CC-B" xfId="400" xr:uid="{00000000-0005-0000-0000-000084010000}"/>
    <cellStyle name="_SubHeading_K2 DEC_20100520_Appl Planning_CC-B" xfId="401" xr:uid="{00000000-0005-0000-0000-000085010000}"/>
    <cellStyle name="_SubHeading_K2 DEC_20100610_Appl Planning_CC-B" xfId="402" xr:uid="{00000000-0005-0000-0000-000086010000}"/>
    <cellStyle name="_SubHeading_K2 DEC_20100621_Appl Planning_CC-B" xfId="403" xr:uid="{00000000-0005-0000-0000-000087010000}"/>
    <cellStyle name="_SubHeading_K2 DEC_20100716_Appl Planning_CC-B" xfId="404" xr:uid="{00000000-0005-0000-0000-000088010000}"/>
    <cellStyle name="_SubHeading_K2 DEC_20100916_Appl Planning_CC-B" xfId="405" xr:uid="{00000000-0005-0000-0000-000089010000}"/>
    <cellStyle name="_SubHeading_K2 décembre 2008 - version MCLT" xfId="406" xr:uid="{00000000-0005-0000-0000-00008A010000}"/>
    <cellStyle name="_SubHeading_K2 décembre 2008 - version MCLT_20100209_Appl Planning_CC-B" xfId="407" xr:uid="{00000000-0005-0000-0000-00008B010000}"/>
    <cellStyle name="_SubHeading_K2 décembre 2008 - version MCLT_20100324_Appl Planning_CC-B" xfId="408" xr:uid="{00000000-0005-0000-0000-00008C010000}"/>
    <cellStyle name="_SubHeading_K2 décembre 2008 - version MCLT_20100520_Appl Planning_CC-B" xfId="409" xr:uid="{00000000-0005-0000-0000-00008D010000}"/>
    <cellStyle name="_SubHeading_K2 décembre 2008 - version MCLT_20100610_Appl Planning_CC-B" xfId="410" xr:uid="{00000000-0005-0000-0000-00008E010000}"/>
    <cellStyle name="_SubHeading_K2 décembre 2008 - version MCLT_20100621_Appl Planning_CC-B" xfId="411" xr:uid="{00000000-0005-0000-0000-00008F010000}"/>
    <cellStyle name="_SubHeading_K2 décembre 2008 - version MCLT_20100716_Appl Planning_CC-B" xfId="412" xr:uid="{00000000-0005-0000-0000-000090010000}"/>
    <cellStyle name="_SubHeading_K2 décembre 2008 - version MCLT_20100916_Appl Planning_CC-B" xfId="413" xr:uid="{00000000-0005-0000-0000-000091010000}"/>
    <cellStyle name="_SubHeading_K2 Mars 2009" xfId="414" xr:uid="{00000000-0005-0000-0000-000092010000}"/>
    <cellStyle name="_SubHeading_K2 NOV" xfId="415" xr:uid="{00000000-0005-0000-0000-000093010000}"/>
    <cellStyle name="_SubHeading_K2 NOV_20100209_Appl Planning_CC-B" xfId="416" xr:uid="{00000000-0005-0000-0000-000094010000}"/>
    <cellStyle name="_SubHeading_K2 NOV_20100324_Appl Planning_CC-B" xfId="417" xr:uid="{00000000-0005-0000-0000-000095010000}"/>
    <cellStyle name="_SubHeading_K2 NOV_20100520_Appl Planning_CC-B" xfId="418" xr:uid="{00000000-0005-0000-0000-000096010000}"/>
    <cellStyle name="_SubHeading_K2 NOV_20100610_Appl Planning_CC-B" xfId="419" xr:uid="{00000000-0005-0000-0000-000097010000}"/>
    <cellStyle name="_SubHeading_K2 NOV_20100621_Appl Planning_CC-B" xfId="420" xr:uid="{00000000-0005-0000-0000-000098010000}"/>
    <cellStyle name="_SubHeading_K2 NOV_20100716_Appl Planning_CC-B" xfId="421" xr:uid="{00000000-0005-0000-0000-000099010000}"/>
    <cellStyle name="_SubHeading_K2 NOV_20100916_Appl Planning_CC-B" xfId="422" xr:uid="{00000000-0005-0000-0000-00009A010000}"/>
    <cellStyle name="_SubHeading_k2-Austria FKA 05 DF update 2009-01 (4)" xfId="423" xr:uid="{00000000-0005-0000-0000-00009B010000}"/>
    <cellStyle name="_SubHeading_k2-Austria FKA 05 DF update 2009-01 (4)_20100209_Appl Planning_CC-B" xfId="424" xr:uid="{00000000-0005-0000-0000-00009C010000}"/>
    <cellStyle name="_SubHeading_k2-Austria FKA 05 DF update 2009-01 (4)_20100324_Appl Planning_CC-B" xfId="425" xr:uid="{00000000-0005-0000-0000-00009D010000}"/>
    <cellStyle name="_SubHeading_k2-Austria FKA 05 DF update 2009-01 (4)_20100520_Appl Planning_CC-B" xfId="426" xr:uid="{00000000-0005-0000-0000-00009E010000}"/>
    <cellStyle name="_SubHeading_k2-Austria FKA 05 DF update 2009-01 (4)_20100610_Appl Planning_CC-B" xfId="427" xr:uid="{00000000-0005-0000-0000-00009F010000}"/>
    <cellStyle name="_SubHeading_k2-Austria FKA 05 DF update 2009-01 (4)_20100621_Appl Planning_CC-B" xfId="428" xr:uid="{00000000-0005-0000-0000-0000A0010000}"/>
    <cellStyle name="_SubHeading_k2-Austria FKA 05 DF update 2009-01 (4)_20100716_Appl Planning_CC-B" xfId="429" xr:uid="{00000000-0005-0000-0000-0000A1010000}"/>
    <cellStyle name="_SubHeading_k2-Austria FKA 05 DF update 2009-01 (4)_20100916_Appl Planning_CC-B" xfId="430" xr:uid="{00000000-0005-0000-0000-0000A2010000}"/>
    <cellStyle name="_SubHeading_k2-Austria FKA 05 DF update 2009-03" xfId="431" xr:uid="{00000000-0005-0000-0000-0000A3010000}"/>
    <cellStyle name="_SubHeading_k2-Austria FKA 05 DF update 2009-03_20100209_Appl Planning_CC-B" xfId="432" xr:uid="{00000000-0005-0000-0000-0000A4010000}"/>
    <cellStyle name="_SubHeading_k2-Austria FKA 05 DF update 2009-03_20100324_Appl Planning_CC-B" xfId="433" xr:uid="{00000000-0005-0000-0000-0000A5010000}"/>
    <cellStyle name="_SubHeading_k2-Austria FKA 05 DF update 2009-03_20100520_Appl Planning_CC-B" xfId="434" xr:uid="{00000000-0005-0000-0000-0000A6010000}"/>
    <cellStyle name="_SubHeading_k2-Austria FKA 05 DF update 2009-03_20100610_Appl Planning_CC-B" xfId="435" xr:uid="{00000000-0005-0000-0000-0000A7010000}"/>
    <cellStyle name="_SubHeading_k2-Austria FKA 05 DF update 2009-03_20100621_Appl Planning_CC-B" xfId="436" xr:uid="{00000000-0005-0000-0000-0000A8010000}"/>
    <cellStyle name="_SubHeading_k2-Austria FKA 05 DF update 2009-03_20100716_Appl Planning_CC-B" xfId="437" xr:uid="{00000000-0005-0000-0000-0000A9010000}"/>
    <cellStyle name="_SubHeading_k2-Austria FKA 05 DF update 2009-03_20100916_Appl Planning_CC-B" xfId="438" xr:uid="{00000000-0005-0000-0000-0000AA010000}"/>
    <cellStyle name="_SubHeading_new 5 07 DE" xfId="439" xr:uid="{00000000-0005-0000-0000-0000AB010000}"/>
    <cellStyle name="_SubHeading_new 5 07 DE_20100209_Appl Planning_CC-B" xfId="440" xr:uid="{00000000-0005-0000-0000-0000AC010000}"/>
    <cellStyle name="_SubHeading_new 5 07 DE_20100324_Appl Planning_CC-B" xfId="441" xr:uid="{00000000-0005-0000-0000-0000AD010000}"/>
    <cellStyle name="_SubHeading_new 5 07 DE_20100520_Appl Planning_CC-B" xfId="442" xr:uid="{00000000-0005-0000-0000-0000AE010000}"/>
    <cellStyle name="_SubHeading_new 5 07 DE_20100610_Appl Planning_CC-B" xfId="443" xr:uid="{00000000-0005-0000-0000-0000AF010000}"/>
    <cellStyle name="_SubHeading_new 5 07 DE_20100621_Appl Planning_CC-B" xfId="444" xr:uid="{00000000-0005-0000-0000-0000B0010000}"/>
    <cellStyle name="_SubHeading_new 5 07 DE_20100716_Appl Planning_CC-B" xfId="445" xr:uid="{00000000-0005-0000-0000-0000B1010000}"/>
    <cellStyle name="_SubHeading_new 5 07 DE_20100916_Appl Planning_CC-B" xfId="446" xr:uid="{00000000-0005-0000-0000-0000B2010000}"/>
    <cellStyle name="_SubHeading_overplafond" xfId="447" xr:uid="{00000000-0005-0000-0000-0000B3010000}"/>
    <cellStyle name="_SubHeading_overplafond_20100209_Appl Planning_CC-B" xfId="448" xr:uid="{00000000-0005-0000-0000-0000B4010000}"/>
    <cellStyle name="_SubHeading_overplafond_20100324_Appl Planning_CC-B" xfId="449" xr:uid="{00000000-0005-0000-0000-0000B5010000}"/>
    <cellStyle name="_SubHeading_overplafond_20100520_Appl Planning_CC-B" xfId="450" xr:uid="{00000000-0005-0000-0000-0000B6010000}"/>
    <cellStyle name="_SubHeading_overplafond_20100610_Appl Planning_CC-B" xfId="451" xr:uid="{00000000-0005-0000-0000-0000B7010000}"/>
    <cellStyle name="_SubHeading_overplafond_20100621_Appl Planning_CC-B" xfId="452" xr:uid="{00000000-0005-0000-0000-0000B8010000}"/>
    <cellStyle name="_SubHeading_overplafond_20100716_Appl Planning_CC-B" xfId="453" xr:uid="{00000000-0005-0000-0000-0000B9010000}"/>
    <cellStyle name="_SubHeading_overplafond_20100916_Appl Planning_CC-B" xfId="454" xr:uid="{00000000-0005-0000-0000-0000BA010000}"/>
    <cellStyle name="_SubHeading_préparatifs 5-07" xfId="455" xr:uid="{00000000-0005-0000-0000-0000BB010000}"/>
    <cellStyle name="_SubHeading_préparatifs 5-07_20100209_Appl Planning_CC-B" xfId="456" xr:uid="{00000000-0005-0000-0000-0000BC010000}"/>
    <cellStyle name="_SubHeading_préparatifs 5-07_20100324_Appl Planning_CC-B" xfId="457" xr:uid="{00000000-0005-0000-0000-0000BD010000}"/>
    <cellStyle name="_SubHeading_préparatifs 5-07_20100520_Appl Planning_CC-B" xfId="458" xr:uid="{00000000-0005-0000-0000-0000BE010000}"/>
    <cellStyle name="_SubHeading_préparatifs 5-07_20100610_Appl Planning_CC-B" xfId="459" xr:uid="{00000000-0005-0000-0000-0000BF010000}"/>
    <cellStyle name="_SubHeading_préparatifs 5-07_20100621_Appl Planning_CC-B" xfId="460" xr:uid="{00000000-0005-0000-0000-0000C0010000}"/>
    <cellStyle name="_SubHeading_préparatifs 5-07_20100716_Appl Planning_CC-B" xfId="461" xr:uid="{00000000-0005-0000-0000-0000C1010000}"/>
    <cellStyle name="_SubHeading_préparatifs 5-07_20100916_Appl Planning_CC-B" xfId="462" xr:uid="{00000000-0005-0000-0000-0000C2010000}"/>
    <cellStyle name="_SubHeading_Sheet 5.05b" xfId="463" xr:uid="{00000000-0005-0000-0000-0000C3010000}"/>
    <cellStyle name="_SubHeading_Sheet 5.05b_5.07" xfId="464" xr:uid="{00000000-0005-0000-0000-0000C4010000}"/>
    <cellStyle name="_SubHeading_Sheet 5.05b_5.07 janvier" xfId="465" xr:uid="{00000000-0005-0000-0000-0000C5010000}"/>
    <cellStyle name="_SubHeading_Sheet 5.05b_base 5 07 per k2 dei dati di gennaio 2009" xfId="466" xr:uid="{00000000-0005-0000-0000-0000C6010000}"/>
    <cellStyle name="_SubHeading_Sheet 5.05b_Copie de Fichier K2 30_11_08" xfId="467" xr:uid="{00000000-0005-0000-0000-0000C7010000}"/>
    <cellStyle name="_SubHeading_Sheet 5.05b_Copie de FORMAT K2 31 01 09" xfId="468" xr:uid="{00000000-0005-0000-0000-0000C8010000}"/>
    <cellStyle name="_SubHeading_Sheet 5.05b_Critical still operating 090531" xfId="469" xr:uid="{00000000-0005-0000-0000-0000C9010000}"/>
    <cellStyle name="_SubHeading_Sheet 5.05b_FGA ENCOURS ET FACTURES 2 06 2009" xfId="470" xr:uid="{00000000-0005-0000-0000-0000CA010000}"/>
    <cellStyle name="_SubHeading_Sheet 5.05b_Fichier K2 28_02_09" xfId="471" xr:uid="{00000000-0005-0000-0000-0000CB010000}"/>
    <cellStyle name="_SubHeading_Sheet 5.05b_Fichier K2 30_04_09" xfId="472" xr:uid="{00000000-0005-0000-0000-0000CC010000}"/>
    <cellStyle name="_SubHeading_Sheet 5.05b_Fichier K2 31_01_09" xfId="473" xr:uid="{00000000-0005-0000-0000-0000CD010000}"/>
    <cellStyle name="_SubHeading_Sheet 5.05b_Fichier K2 31_03_09" xfId="474" xr:uid="{00000000-0005-0000-0000-0000CE010000}"/>
    <cellStyle name="_SubHeading_Sheet 5.05b_Fichier K2 31_05_09" xfId="475" xr:uid="{00000000-0005-0000-0000-0000CF010000}"/>
    <cellStyle name="_SubHeading_Sheet 5.05b_Fichier K2 31_12_08" xfId="476" xr:uid="{00000000-0005-0000-0000-0000D0010000}"/>
    <cellStyle name="_SubHeading_Sheet 5.05b_FORMAT K2 30 11 08" xfId="477" xr:uid="{00000000-0005-0000-0000-0000D1010000}"/>
    <cellStyle name="_SubHeading_Sheet 5.05b_FORMAT K2 30 11 08 (12)" xfId="478" xr:uid="{00000000-0005-0000-0000-0000D2010000}"/>
    <cellStyle name="_SubHeading_Sheet 5.05b_FORMAT K2 30 11 08 (13)" xfId="479" xr:uid="{00000000-0005-0000-0000-0000D3010000}"/>
    <cellStyle name="_SubHeading_Sheet 5.05b_FORMAT K2 30 11 08 (14)" xfId="480" xr:uid="{00000000-0005-0000-0000-0000D4010000}"/>
    <cellStyle name="_SubHeading_Sheet 5.05b_FORMAT K2 30 11 08 (15)" xfId="481" xr:uid="{00000000-0005-0000-0000-0000D5010000}"/>
    <cellStyle name="_SubHeading_Sheet 5.05b_FORMAT K2 30 11 08 (16)" xfId="482" xr:uid="{00000000-0005-0000-0000-0000D6010000}"/>
    <cellStyle name="_SubHeading_Sheet 5.05b_FORMAT K2 30 11 08 (17)" xfId="483" xr:uid="{00000000-0005-0000-0000-0000D7010000}"/>
    <cellStyle name="_SubHeading_Sheet 5.05b_FORMAT K2 30 11 08 (18)" xfId="484" xr:uid="{00000000-0005-0000-0000-0000D8010000}"/>
    <cellStyle name="_SubHeading_Sheet 5.05b_FORMAT K2 30 11 08 (19)" xfId="485" xr:uid="{00000000-0005-0000-0000-0000D9010000}"/>
    <cellStyle name="_SubHeading_Sheet 5.05b_FORMAT K2 30 11 08 (20)" xfId="486" xr:uid="{00000000-0005-0000-0000-0000DA010000}"/>
    <cellStyle name="_SubHeading_Sheet 5.05b_FORMAT K2 31 01 09" xfId="487" xr:uid="{00000000-0005-0000-0000-0000DB010000}"/>
    <cellStyle name="_SubHeading_Sheet 5.05b_FORMAT K2 31 01 09 (14)" xfId="488" xr:uid="{00000000-0005-0000-0000-0000DC010000}"/>
    <cellStyle name="_SubHeading_Sheet 5.05b_FORMAT K2 31 01 09 (22)" xfId="489" xr:uid="{00000000-0005-0000-0000-0000DD010000}"/>
    <cellStyle name="_SubHeading_Sheet 5.05b_FORMAT K2 31 03 09 UK" xfId="490" xr:uid="{00000000-0005-0000-0000-0000DE010000}"/>
    <cellStyle name="_SubHeading_Sheet 5.05b_FORMAT K2 31 05 09 FRANCE" xfId="491" xr:uid="{00000000-0005-0000-0000-0000DF010000}"/>
    <cellStyle name="_SubHeading_Sheet 5.05b_FORMAT K2 31 12 08" xfId="492" xr:uid="{00000000-0005-0000-0000-0000E0010000}"/>
    <cellStyle name="_SubHeading_Sheet 5.05b_FORMAT K2 31 12 08 (2)" xfId="493" xr:uid="{00000000-0005-0000-0000-0000E1010000}"/>
    <cellStyle name="_SubHeading_Sheet 5.05b_FORMAT K2 31 12 08 (3)" xfId="494" xr:uid="{00000000-0005-0000-0000-0000E2010000}"/>
    <cellStyle name="_SubHeading_Sheet 5.05b_FORMAT K2 31 12 08 (4)" xfId="495" xr:uid="{00000000-0005-0000-0000-0000E3010000}"/>
    <cellStyle name="_SubHeading_Sheet 5.05b_FORMAT K2 31 12 08 (5)" xfId="496" xr:uid="{00000000-0005-0000-0000-0000E4010000}"/>
    <cellStyle name="_SubHeading_Sheet 5.05b_FORMAT K2 31 12 08 (6)" xfId="497" xr:uid="{00000000-0005-0000-0000-0000E5010000}"/>
    <cellStyle name="_SubHeading_Sheet 5.05b_FORMAT K2 31 12 08 (7)" xfId="498" xr:uid="{00000000-0005-0000-0000-0000E6010000}"/>
    <cellStyle name="_SubHeading_Sheet 5.05b_FORMAT K2 31 12 08 (8)" xfId="499" xr:uid="{00000000-0005-0000-0000-0000E7010000}"/>
    <cellStyle name="_SubHeading_Sheet 5.05b_FORMAT K2 ENERO (6)" xfId="500" xr:uid="{00000000-0005-0000-0000-0000E8010000}"/>
    <cellStyle name="_SubHeading_Sheet 5.05b_K2 April 2009" xfId="501" xr:uid="{00000000-0005-0000-0000-0000E9010000}"/>
    <cellStyle name="_SubHeading_Sheet 5.05b_K2 av 2009 - version MCLT" xfId="502" xr:uid="{00000000-0005-0000-0000-0000EA010000}"/>
    <cellStyle name="_SubHeading_Sheet 5.05b_K2 December 2008" xfId="503" xr:uid="{00000000-0005-0000-0000-0000EB010000}"/>
    <cellStyle name="_SubHeading_Sheet 5.05b_K2 February 2009" xfId="504" xr:uid="{00000000-0005-0000-0000-0000EC010000}"/>
    <cellStyle name="_SubHeading_Sheet 5.05b_K2 January 2009 (3)" xfId="505" xr:uid="{00000000-0005-0000-0000-0000ED010000}"/>
    <cellStyle name="_SubHeading_Sheet 5.05b_K2 mai 2009 - version MCLT" xfId="506" xr:uid="{00000000-0005-0000-0000-0000EE010000}"/>
    <cellStyle name="_SubHeading_Sheet 5.05b_K2 Mars 2009" xfId="507" xr:uid="{00000000-0005-0000-0000-0000EF010000}"/>
    <cellStyle name="_SubHeading_Sheet 5.05b_K2 November 2008 Francia" xfId="508" xr:uid="{00000000-0005-0000-0000-0000F0010000}"/>
    <cellStyle name="_SubHeading_Sheet 5.05b_preparatifs 5.07" xfId="509" xr:uid="{00000000-0005-0000-0000-0000F1010000}"/>
    <cellStyle name="_SubHeading_Sheet 5.05b_preparatifs 5.22-23" xfId="510" xr:uid="{00000000-0005-0000-0000-0000F2010000}"/>
    <cellStyle name="_SubHeading_Sheet 5.05b_préparatifs 5-07" xfId="511" xr:uid="{00000000-0005-0000-0000-0000F3010000}"/>
    <cellStyle name="_Table" xfId="512" xr:uid="{00000000-0005-0000-0000-0000F4010000}"/>
    <cellStyle name="_Table_20081202 - Austria" xfId="513" xr:uid="{00000000-0005-0000-0000-0000F5010000}"/>
    <cellStyle name="_Table_20081202 - Austria_20100209_Appl Planning_CC-B" xfId="514" xr:uid="{00000000-0005-0000-0000-0000F6010000}"/>
    <cellStyle name="_Table_20081202 - Austria_20100324_Appl Planning_CC-B" xfId="515" xr:uid="{00000000-0005-0000-0000-0000F7010000}"/>
    <cellStyle name="_Table_20081202 - Austria_20100520_Appl Planning_CC-B" xfId="516" xr:uid="{00000000-0005-0000-0000-0000F8010000}"/>
    <cellStyle name="_Table_20081202 - Austria_20100610_Appl Planning_CC-B" xfId="517" xr:uid="{00000000-0005-0000-0000-0000F9010000}"/>
    <cellStyle name="_Table_20081202 - Austria_20100621_Appl Planning_CC-B" xfId="518" xr:uid="{00000000-0005-0000-0000-0000FA010000}"/>
    <cellStyle name="_Table_20081202 - Austria_20100716_Appl Planning_CC-B" xfId="519" xr:uid="{00000000-0005-0000-0000-0000FB010000}"/>
    <cellStyle name="_Table_20081202 - Austria_20100916_Appl Planning_CC-B" xfId="520" xr:uid="{00000000-0005-0000-0000-0000FC010000}"/>
    <cellStyle name="_Table_20081202 - Denmark" xfId="521" xr:uid="{00000000-0005-0000-0000-0000FD010000}"/>
    <cellStyle name="_Table_20081202 - Denmark_20100209_Appl Planning_CC-B" xfId="522" xr:uid="{00000000-0005-0000-0000-0000FE010000}"/>
    <cellStyle name="_Table_20081202 - Denmark_20100324_Appl Planning_CC-B" xfId="523" xr:uid="{00000000-0005-0000-0000-0000FF010000}"/>
    <cellStyle name="_Table_20081202 - Denmark_20100520_Appl Planning_CC-B" xfId="524" xr:uid="{00000000-0005-0000-0000-000000020000}"/>
    <cellStyle name="_Table_20081202 - Denmark_20100610_Appl Planning_CC-B" xfId="525" xr:uid="{00000000-0005-0000-0000-000001020000}"/>
    <cellStyle name="_Table_20081202 - Denmark_20100621_Appl Planning_CC-B" xfId="526" xr:uid="{00000000-0005-0000-0000-000002020000}"/>
    <cellStyle name="_Table_20081202 - Denmark_20100716_Appl Planning_CC-B" xfId="527" xr:uid="{00000000-0005-0000-0000-000003020000}"/>
    <cellStyle name="_Table_20081202 - Denmark_20100916_Appl Planning_CC-B" xfId="528" xr:uid="{00000000-0005-0000-0000-000004020000}"/>
    <cellStyle name="_Table_20081202 - Poland" xfId="529" xr:uid="{00000000-0005-0000-0000-000005020000}"/>
    <cellStyle name="_Table_20081202 - Poland_20100209_Appl Planning_CC-B" xfId="530" xr:uid="{00000000-0005-0000-0000-000006020000}"/>
    <cellStyle name="_Table_20081202 - Poland_20100324_Appl Planning_CC-B" xfId="531" xr:uid="{00000000-0005-0000-0000-000007020000}"/>
    <cellStyle name="_Table_20081202 - Poland_20100520_Appl Planning_CC-B" xfId="532" xr:uid="{00000000-0005-0000-0000-000008020000}"/>
    <cellStyle name="_Table_20081202 - Poland_20100610_Appl Planning_CC-B" xfId="533" xr:uid="{00000000-0005-0000-0000-000009020000}"/>
    <cellStyle name="_Table_20081202 - Poland_20100621_Appl Planning_CC-B" xfId="534" xr:uid="{00000000-0005-0000-0000-00000A020000}"/>
    <cellStyle name="_Table_20081202 - Poland_20100716_Appl Planning_CC-B" xfId="535" xr:uid="{00000000-0005-0000-0000-00000B020000}"/>
    <cellStyle name="_Table_20081202 - Poland_20100916_Appl Planning_CC-B" xfId="536" xr:uid="{00000000-0005-0000-0000-00000C020000}"/>
    <cellStyle name="_Table_5 07 inviato per novembre al mercato" xfId="537" xr:uid="{00000000-0005-0000-0000-00000D020000}"/>
    <cellStyle name="_Table_5 07 inviato per novembre al mercato_20100209_Appl Planning_CC-B" xfId="538" xr:uid="{00000000-0005-0000-0000-00000E020000}"/>
    <cellStyle name="_Table_5 07 inviato per novembre al mercato_20100324_Appl Planning_CC-B" xfId="539" xr:uid="{00000000-0005-0000-0000-00000F020000}"/>
    <cellStyle name="_Table_5 07 inviato per novembre al mercato_20100520_Appl Planning_CC-B" xfId="540" xr:uid="{00000000-0005-0000-0000-000010020000}"/>
    <cellStyle name="_Table_5 07 inviato per novembre al mercato_20100610_Appl Planning_CC-B" xfId="541" xr:uid="{00000000-0005-0000-0000-000011020000}"/>
    <cellStyle name="_Table_5 07 inviato per novembre al mercato_20100621_Appl Planning_CC-B" xfId="542" xr:uid="{00000000-0005-0000-0000-000012020000}"/>
    <cellStyle name="_Table_5 07 inviato per novembre al mercato_20100716_Appl Planning_CC-B" xfId="543" xr:uid="{00000000-0005-0000-0000-000013020000}"/>
    <cellStyle name="_Table_5 07 inviato per novembre al mercato_20100916_Appl Planning_CC-B" xfId="544" xr:uid="{00000000-0005-0000-0000-000014020000}"/>
    <cellStyle name="_Table_5 07 k2 con dati di novembre" xfId="545" xr:uid="{00000000-0005-0000-0000-000015020000}"/>
    <cellStyle name="_Table_5 07 k2 con dati di novembre_20100209_Appl Planning_CC-B" xfId="546" xr:uid="{00000000-0005-0000-0000-000016020000}"/>
    <cellStyle name="_Table_5 07 k2 con dati di novembre_20100324_Appl Planning_CC-B" xfId="547" xr:uid="{00000000-0005-0000-0000-000017020000}"/>
    <cellStyle name="_Table_5 07 k2 con dati di novembre_20100520_Appl Planning_CC-B" xfId="548" xr:uid="{00000000-0005-0000-0000-000018020000}"/>
    <cellStyle name="_Table_5 07 k2 con dati di novembre_20100610_Appl Planning_CC-B" xfId="549" xr:uid="{00000000-0005-0000-0000-000019020000}"/>
    <cellStyle name="_Table_5 07 k2 con dati di novembre_20100621_Appl Planning_CC-B" xfId="550" xr:uid="{00000000-0005-0000-0000-00001A020000}"/>
    <cellStyle name="_Table_5 07 k2 con dati di novembre_20100716_Appl Planning_CC-B" xfId="551" xr:uid="{00000000-0005-0000-0000-00001B020000}"/>
    <cellStyle name="_Table_5 07 k2 con dati di novembre_20100916_Appl Planning_CC-B" xfId="552" xr:uid="{00000000-0005-0000-0000-00001C020000}"/>
    <cellStyle name="_Table_Cartel1 (7)" xfId="553" xr:uid="{00000000-0005-0000-0000-00001D020000}"/>
    <cellStyle name="_Table_Cartel1 (7)_20100209_Appl Planning_CC-B" xfId="554" xr:uid="{00000000-0005-0000-0000-00001E020000}"/>
    <cellStyle name="_Table_Cartel1 (7)_20100324_Appl Planning_CC-B" xfId="555" xr:uid="{00000000-0005-0000-0000-00001F020000}"/>
    <cellStyle name="_Table_Cartel1 (7)_20100520_Appl Planning_CC-B" xfId="556" xr:uid="{00000000-0005-0000-0000-000020020000}"/>
    <cellStyle name="_Table_Cartel1 (7)_20100610_Appl Planning_CC-B" xfId="557" xr:uid="{00000000-0005-0000-0000-000021020000}"/>
    <cellStyle name="_Table_Cartel1 (7)_20100621_Appl Planning_CC-B" xfId="558" xr:uid="{00000000-0005-0000-0000-000022020000}"/>
    <cellStyle name="_Table_Cartel1 (7)_20100716_Appl Planning_CC-B" xfId="559" xr:uid="{00000000-0005-0000-0000-000023020000}"/>
    <cellStyle name="_Table_Cartel1 (7)_20100916_Appl Planning_CC-B" xfId="560" xr:uid="{00000000-0005-0000-0000-000024020000}"/>
    <cellStyle name="_Table_Copie de K2 févrierr2009 - version MCLT" xfId="561" xr:uid="{00000000-0005-0000-0000-000025020000}"/>
    <cellStyle name="_Table_Copie de K2 févrierr2009 - version MCLT_20100209_Appl Planning_CC-B" xfId="562" xr:uid="{00000000-0005-0000-0000-000026020000}"/>
    <cellStyle name="_Table_Copie de K2 févrierr2009 - version MCLT_20100324_Appl Planning_CC-B" xfId="563" xr:uid="{00000000-0005-0000-0000-000027020000}"/>
    <cellStyle name="_Table_Copie de K2 févrierr2009 - version MCLT_20100520_Appl Planning_CC-B" xfId="564" xr:uid="{00000000-0005-0000-0000-000028020000}"/>
    <cellStyle name="_Table_Copie de K2 févrierr2009 - version MCLT_20100610_Appl Planning_CC-B" xfId="565" xr:uid="{00000000-0005-0000-0000-000029020000}"/>
    <cellStyle name="_Table_Copie de K2 févrierr2009 - version MCLT_20100621_Appl Planning_CC-B" xfId="566" xr:uid="{00000000-0005-0000-0000-00002A020000}"/>
    <cellStyle name="_Table_Copie de K2 févrierr2009 - version MCLT_20100716_Appl Planning_CC-B" xfId="567" xr:uid="{00000000-0005-0000-0000-00002B020000}"/>
    <cellStyle name="_Table_Copie de K2 févrierr2009 - version MCLT_20100916_Appl Planning_CC-B" xfId="568" xr:uid="{00000000-0005-0000-0000-00002C020000}"/>
    <cellStyle name="_Table_Copie de K2 mars 2009 - version MCLT" xfId="569" xr:uid="{00000000-0005-0000-0000-00002D020000}"/>
    <cellStyle name="_Table_Copie de K2 mars 2009 - version MCLT_20100209_Appl Planning_CC-B" xfId="570" xr:uid="{00000000-0005-0000-0000-00002E020000}"/>
    <cellStyle name="_Table_Copie de K2 mars 2009 - version MCLT_20100324_Appl Planning_CC-B" xfId="571" xr:uid="{00000000-0005-0000-0000-00002F020000}"/>
    <cellStyle name="_Table_Copie de K2 mars 2009 - version MCLT_20100520_Appl Planning_CC-B" xfId="572" xr:uid="{00000000-0005-0000-0000-000030020000}"/>
    <cellStyle name="_Table_Copie de K2 mars 2009 - version MCLT_20100610_Appl Planning_CC-B" xfId="573" xr:uid="{00000000-0005-0000-0000-000031020000}"/>
    <cellStyle name="_Table_Copie de K2 mars 2009 - version MCLT_20100621_Appl Planning_CC-B" xfId="574" xr:uid="{00000000-0005-0000-0000-000032020000}"/>
    <cellStyle name="_Table_Copie de K2 mars 2009 - version MCLT_20100716_Appl Planning_CC-B" xfId="575" xr:uid="{00000000-0005-0000-0000-000033020000}"/>
    <cellStyle name="_Table_Copie de K2 mars 2009 - version MCLT_20100916_Appl Planning_CC-B" xfId="576" xr:uid="{00000000-0005-0000-0000-000034020000}"/>
    <cellStyle name="_Table_Copie de K2 novembre 2008 - version MCLT" xfId="577" xr:uid="{00000000-0005-0000-0000-000035020000}"/>
    <cellStyle name="_Table_Copie de K2 novembre 2008 - version MCLT_20100209_Appl Planning_CC-B" xfId="578" xr:uid="{00000000-0005-0000-0000-000036020000}"/>
    <cellStyle name="_Table_Copie de K2 novembre 2008 - version MCLT_20100324_Appl Planning_CC-B" xfId="579" xr:uid="{00000000-0005-0000-0000-000037020000}"/>
    <cellStyle name="_Table_Copie de K2 novembre 2008 - version MCLT_20100520_Appl Planning_CC-B" xfId="580" xr:uid="{00000000-0005-0000-0000-000038020000}"/>
    <cellStyle name="_Table_Copie de K2 novembre 2008 - version MCLT_20100610_Appl Planning_CC-B" xfId="581" xr:uid="{00000000-0005-0000-0000-000039020000}"/>
    <cellStyle name="_Table_Copie de K2 novembre 2008 - version MCLT_20100621_Appl Planning_CC-B" xfId="582" xr:uid="{00000000-0005-0000-0000-00003A020000}"/>
    <cellStyle name="_Table_Copie de K2 novembre 2008 - version MCLT_20100716_Appl Planning_CC-B" xfId="583" xr:uid="{00000000-0005-0000-0000-00003B020000}"/>
    <cellStyle name="_Table_Copie de K2 novembre 2008 - version MCLT_20100916_Appl Planning_CC-B" xfId="584" xr:uid="{00000000-0005-0000-0000-00003C020000}"/>
    <cellStyle name="_Table_CRITICAL STILL OPERATING" xfId="585" xr:uid="{00000000-0005-0000-0000-00003D020000}"/>
    <cellStyle name="_Table_CRITICAL STILL OPERATING_20100209_Appl Planning_CC-B" xfId="586" xr:uid="{00000000-0005-0000-0000-00003E020000}"/>
    <cellStyle name="_Table_CRITICAL STILL OPERATING_20100324_Appl Planning_CC-B" xfId="587" xr:uid="{00000000-0005-0000-0000-00003F020000}"/>
    <cellStyle name="_Table_CRITICAL STILL OPERATING_20100520_Appl Planning_CC-B" xfId="588" xr:uid="{00000000-0005-0000-0000-000040020000}"/>
    <cellStyle name="_Table_CRITICAL STILL OPERATING_20100610_Appl Planning_CC-B" xfId="589" xr:uid="{00000000-0005-0000-0000-000041020000}"/>
    <cellStyle name="_Table_CRITICAL STILL OPERATING_20100621_Appl Planning_CC-B" xfId="590" xr:uid="{00000000-0005-0000-0000-000042020000}"/>
    <cellStyle name="_Table_CRITICAL STILL OPERATING_20100716_Appl Planning_CC-B" xfId="591" xr:uid="{00000000-0005-0000-0000-000043020000}"/>
    <cellStyle name="_Table_CRITICAL STILL OPERATING_20100916_Appl Planning_CC-B" xfId="592" xr:uid="{00000000-0005-0000-0000-000044020000}"/>
    <cellStyle name="_Table_Feuil1" xfId="593" xr:uid="{00000000-0005-0000-0000-000045020000}"/>
    <cellStyle name="_Table_FORMAT K2 NOVEMBER 2008" xfId="594" xr:uid="{00000000-0005-0000-0000-000046020000}"/>
    <cellStyle name="_Table_FORMAT K2 NOVEMBER 2008 (2)" xfId="595" xr:uid="{00000000-0005-0000-0000-000047020000}"/>
    <cellStyle name="_Table_FORMAT K2 NOVEMBER 2008 (2)_20100209_Appl Planning_CC-B" xfId="596" xr:uid="{00000000-0005-0000-0000-000048020000}"/>
    <cellStyle name="_Table_FORMAT K2 NOVEMBER 2008 (2)_20100324_Appl Planning_CC-B" xfId="597" xr:uid="{00000000-0005-0000-0000-000049020000}"/>
    <cellStyle name="_Table_FORMAT K2 NOVEMBER 2008 (2)_20100520_Appl Planning_CC-B" xfId="598" xr:uid="{00000000-0005-0000-0000-00004A020000}"/>
    <cellStyle name="_Table_FORMAT K2 NOVEMBER 2008 (2)_20100610_Appl Planning_CC-B" xfId="599" xr:uid="{00000000-0005-0000-0000-00004B020000}"/>
    <cellStyle name="_Table_FORMAT K2 NOVEMBER 2008 (2)_20100621_Appl Planning_CC-B" xfId="600" xr:uid="{00000000-0005-0000-0000-00004C020000}"/>
    <cellStyle name="_Table_FORMAT K2 NOVEMBER 2008 (2)_20100716_Appl Planning_CC-B" xfId="601" xr:uid="{00000000-0005-0000-0000-00004D020000}"/>
    <cellStyle name="_Table_FORMAT K2 NOVEMBER 2008 (2)_20100916_Appl Planning_CC-B" xfId="602" xr:uid="{00000000-0005-0000-0000-00004E020000}"/>
    <cellStyle name="_Table_FORMAT K2 NOVEMBER 2008 (3)" xfId="603" xr:uid="{00000000-0005-0000-0000-00004F020000}"/>
    <cellStyle name="_Table_FORMAT K2 NOVEMBER 2008 (3)_20100209_Appl Planning_CC-B" xfId="604" xr:uid="{00000000-0005-0000-0000-000050020000}"/>
    <cellStyle name="_Table_FORMAT K2 NOVEMBER 2008 (3)_20100324_Appl Planning_CC-B" xfId="605" xr:uid="{00000000-0005-0000-0000-000051020000}"/>
    <cellStyle name="_Table_FORMAT K2 NOVEMBER 2008 (3)_20100520_Appl Planning_CC-B" xfId="606" xr:uid="{00000000-0005-0000-0000-000052020000}"/>
    <cellStyle name="_Table_FORMAT K2 NOVEMBER 2008 (3)_20100610_Appl Planning_CC-B" xfId="607" xr:uid="{00000000-0005-0000-0000-000053020000}"/>
    <cellStyle name="_Table_FORMAT K2 NOVEMBER 2008 (3)_20100621_Appl Planning_CC-B" xfId="608" xr:uid="{00000000-0005-0000-0000-000054020000}"/>
    <cellStyle name="_Table_FORMAT K2 NOVEMBER 2008 (3)_20100716_Appl Planning_CC-B" xfId="609" xr:uid="{00000000-0005-0000-0000-000055020000}"/>
    <cellStyle name="_Table_FORMAT K2 NOVEMBER 2008 (3)_20100916_Appl Planning_CC-B" xfId="610" xr:uid="{00000000-0005-0000-0000-000056020000}"/>
    <cellStyle name="_Table_FORMAT K2 NOVEMBER 2008 SVIZZERA" xfId="611" xr:uid="{00000000-0005-0000-0000-000057020000}"/>
    <cellStyle name="_Table_FORMAT K2 NOVEMBER 2008 SVIZZERA_20100209_Appl Planning_CC-B" xfId="612" xr:uid="{00000000-0005-0000-0000-000058020000}"/>
    <cellStyle name="_Table_FORMAT K2 NOVEMBER 2008 SVIZZERA_20100324_Appl Planning_CC-B" xfId="613" xr:uid="{00000000-0005-0000-0000-000059020000}"/>
    <cellStyle name="_Table_FORMAT K2 NOVEMBER 2008 SVIZZERA_20100520_Appl Planning_CC-B" xfId="614" xr:uid="{00000000-0005-0000-0000-00005A020000}"/>
    <cellStyle name="_Table_FORMAT K2 NOVEMBER 2008 SVIZZERA_20100610_Appl Planning_CC-B" xfId="615" xr:uid="{00000000-0005-0000-0000-00005B020000}"/>
    <cellStyle name="_Table_FORMAT K2 NOVEMBER 2008 SVIZZERA_20100621_Appl Planning_CC-B" xfId="616" xr:uid="{00000000-0005-0000-0000-00005C020000}"/>
    <cellStyle name="_Table_FORMAT K2 NOVEMBER 2008 SVIZZERA_20100716_Appl Planning_CC-B" xfId="617" xr:uid="{00000000-0005-0000-0000-00005D020000}"/>
    <cellStyle name="_Table_FORMAT K2 NOVEMBER 2008 SVIZZERA_20100916_Appl Planning_CC-B" xfId="618" xr:uid="{00000000-0005-0000-0000-00005E020000}"/>
    <cellStyle name="_Table_FORMAT K2 NOVEMBER 2008_20100209_Appl Planning_CC-B" xfId="619" xr:uid="{00000000-0005-0000-0000-00005F020000}"/>
    <cellStyle name="_Table_FORMAT K2 NOVEMBER 2008_20100324_Appl Planning_CC-B" xfId="620" xr:uid="{00000000-0005-0000-0000-000060020000}"/>
    <cellStyle name="_Table_FORMAT K2 NOVEMBER 2008_20100520_Appl Planning_CC-B" xfId="621" xr:uid="{00000000-0005-0000-0000-000061020000}"/>
    <cellStyle name="_Table_FORMAT K2 NOVEMBER 2008_20100610_Appl Planning_CC-B" xfId="622" xr:uid="{00000000-0005-0000-0000-000062020000}"/>
    <cellStyle name="_Table_FORMAT K2 NOVEMBER 2008_20100621_Appl Planning_CC-B" xfId="623" xr:uid="{00000000-0005-0000-0000-000063020000}"/>
    <cellStyle name="_Table_FORMAT K2 NOVEMBER 2008_20100716_Appl Planning_CC-B" xfId="624" xr:uid="{00000000-0005-0000-0000-000064020000}"/>
    <cellStyle name="_Table_FORMAT K2 NOVEMBER 2008_20100916_Appl Planning_CC-B" xfId="625" xr:uid="{00000000-0005-0000-0000-000065020000}"/>
    <cellStyle name="_Table_FORMAT K2 OCTOBER 2008 BELGIO (2)" xfId="626" xr:uid="{00000000-0005-0000-0000-000066020000}"/>
    <cellStyle name="_Table_FORMAT K2 OCTOBER 2008 BELGIO (2)_20100209_Appl Planning_CC-B" xfId="627" xr:uid="{00000000-0005-0000-0000-000067020000}"/>
    <cellStyle name="_Table_FORMAT K2 OCTOBER 2008 BELGIO (2)_20100324_Appl Planning_CC-B" xfId="628" xr:uid="{00000000-0005-0000-0000-000068020000}"/>
    <cellStyle name="_Table_FORMAT K2 OCTOBER 2008 BELGIO (2)_20100520_Appl Planning_CC-B" xfId="629" xr:uid="{00000000-0005-0000-0000-000069020000}"/>
    <cellStyle name="_Table_FORMAT K2 OCTOBER 2008 BELGIO (2)_20100610_Appl Planning_CC-B" xfId="630" xr:uid="{00000000-0005-0000-0000-00006A020000}"/>
    <cellStyle name="_Table_FORMAT K2 OCTOBER 2008 BELGIO (2)_20100621_Appl Planning_CC-B" xfId="631" xr:uid="{00000000-0005-0000-0000-00006B020000}"/>
    <cellStyle name="_Table_FORMAT K2 OCTOBER 2008 BELGIO (2)_20100716_Appl Planning_CC-B" xfId="632" xr:uid="{00000000-0005-0000-0000-00006C020000}"/>
    <cellStyle name="_Table_FORMAT K2 OCTOBER 2008 BELGIO (2)_20100916_Appl Planning_CC-B" xfId="633" xr:uid="{00000000-0005-0000-0000-00006D020000}"/>
    <cellStyle name="_Table_FORMAT K2 OCTOBER 2008 SPAGNA (2)" xfId="634" xr:uid="{00000000-0005-0000-0000-00006E020000}"/>
    <cellStyle name="_Table_FORMAT K2 OCTOBER 2008 SPAGNA (2)_20100209_Appl Planning_CC-B" xfId="635" xr:uid="{00000000-0005-0000-0000-00006F020000}"/>
    <cellStyle name="_Table_FORMAT K2 OCTOBER 2008 SPAGNA (2)_20100324_Appl Planning_CC-B" xfId="636" xr:uid="{00000000-0005-0000-0000-000070020000}"/>
    <cellStyle name="_Table_FORMAT K2 OCTOBER 2008 SPAGNA (2)_20100520_Appl Planning_CC-B" xfId="637" xr:uid="{00000000-0005-0000-0000-000071020000}"/>
    <cellStyle name="_Table_FORMAT K2 OCTOBER 2008 SPAGNA (2)_20100610_Appl Planning_CC-B" xfId="638" xr:uid="{00000000-0005-0000-0000-000072020000}"/>
    <cellStyle name="_Table_FORMAT K2 OCTOBER 2008 SPAGNA (2)_20100621_Appl Planning_CC-B" xfId="639" xr:uid="{00000000-0005-0000-0000-000073020000}"/>
    <cellStyle name="_Table_FORMAT K2 OCTOBER 2008 SPAGNA (2)_20100716_Appl Planning_CC-B" xfId="640" xr:uid="{00000000-0005-0000-0000-000074020000}"/>
    <cellStyle name="_Table_FORMAT K2 OCTOBER 2008 SPAGNA (2)_20100916_Appl Planning_CC-B" xfId="641" xr:uid="{00000000-0005-0000-0000-000075020000}"/>
    <cellStyle name="_Table_K2 DEC" xfId="642" xr:uid="{00000000-0005-0000-0000-000076020000}"/>
    <cellStyle name="_Table_K2 DEC_20100209_Appl Planning_CC-B" xfId="643" xr:uid="{00000000-0005-0000-0000-000077020000}"/>
    <cellStyle name="_Table_K2 DEC_20100324_Appl Planning_CC-B" xfId="644" xr:uid="{00000000-0005-0000-0000-000078020000}"/>
    <cellStyle name="_Table_K2 DEC_20100520_Appl Planning_CC-B" xfId="645" xr:uid="{00000000-0005-0000-0000-000079020000}"/>
    <cellStyle name="_Table_K2 DEC_20100610_Appl Planning_CC-B" xfId="646" xr:uid="{00000000-0005-0000-0000-00007A020000}"/>
    <cellStyle name="_Table_K2 DEC_20100621_Appl Planning_CC-B" xfId="647" xr:uid="{00000000-0005-0000-0000-00007B020000}"/>
    <cellStyle name="_Table_K2 DEC_20100716_Appl Planning_CC-B" xfId="648" xr:uid="{00000000-0005-0000-0000-00007C020000}"/>
    <cellStyle name="_Table_K2 DEC_20100916_Appl Planning_CC-B" xfId="649" xr:uid="{00000000-0005-0000-0000-00007D020000}"/>
    <cellStyle name="_Table_K2 décembre 2008 - version MCLT" xfId="650" xr:uid="{00000000-0005-0000-0000-00007E020000}"/>
    <cellStyle name="_Table_K2 décembre 2008 - version MCLT_20100209_Appl Planning_CC-B" xfId="651" xr:uid="{00000000-0005-0000-0000-00007F020000}"/>
    <cellStyle name="_Table_K2 décembre 2008 - version MCLT_20100324_Appl Planning_CC-B" xfId="652" xr:uid="{00000000-0005-0000-0000-000080020000}"/>
    <cellStyle name="_Table_K2 décembre 2008 - version MCLT_20100520_Appl Planning_CC-B" xfId="653" xr:uid="{00000000-0005-0000-0000-000081020000}"/>
    <cellStyle name="_Table_K2 décembre 2008 - version MCLT_20100610_Appl Planning_CC-B" xfId="654" xr:uid="{00000000-0005-0000-0000-000082020000}"/>
    <cellStyle name="_Table_K2 décembre 2008 - version MCLT_20100621_Appl Planning_CC-B" xfId="655" xr:uid="{00000000-0005-0000-0000-000083020000}"/>
    <cellStyle name="_Table_K2 décembre 2008 - version MCLT_20100716_Appl Planning_CC-B" xfId="656" xr:uid="{00000000-0005-0000-0000-000084020000}"/>
    <cellStyle name="_Table_K2 décembre 2008 - version MCLT_20100916_Appl Planning_CC-B" xfId="657" xr:uid="{00000000-0005-0000-0000-000085020000}"/>
    <cellStyle name="_Table_K2 Mars 2009" xfId="658" xr:uid="{00000000-0005-0000-0000-000086020000}"/>
    <cellStyle name="_Table_K2 NOV" xfId="659" xr:uid="{00000000-0005-0000-0000-000087020000}"/>
    <cellStyle name="_Table_K2 NOV_20100209_Appl Planning_CC-B" xfId="660" xr:uid="{00000000-0005-0000-0000-000088020000}"/>
    <cellStyle name="_Table_K2 NOV_20100324_Appl Planning_CC-B" xfId="661" xr:uid="{00000000-0005-0000-0000-000089020000}"/>
    <cellStyle name="_Table_K2 NOV_20100520_Appl Planning_CC-B" xfId="662" xr:uid="{00000000-0005-0000-0000-00008A020000}"/>
    <cellStyle name="_Table_K2 NOV_20100610_Appl Planning_CC-B" xfId="663" xr:uid="{00000000-0005-0000-0000-00008B020000}"/>
    <cellStyle name="_Table_K2 NOV_20100621_Appl Planning_CC-B" xfId="664" xr:uid="{00000000-0005-0000-0000-00008C020000}"/>
    <cellStyle name="_Table_K2 NOV_20100716_Appl Planning_CC-B" xfId="665" xr:uid="{00000000-0005-0000-0000-00008D020000}"/>
    <cellStyle name="_Table_K2 NOV_20100916_Appl Planning_CC-B" xfId="666" xr:uid="{00000000-0005-0000-0000-00008E020000}"/>
    <cellStyle name="_Table_k2-Austria FKA 05 DF update 2009-01 (4)" xfId="667" xr:uid="{00000000-0005-0000-0000-00008F020000}"/>
    <cellStyle name="_Table_k2-Austria FKA 05 DF update 2009-01 (4)_20100209_Appl Planning_CC-B" xfId="668" xr:uid="{00000000-0005-0000-0000-000090020000}"/>
    <cellStyle name="_Table_k2-Austria FKA 05 DF update 2009-01 (4)_20100324_Appl Planning_CC-B" xfId="669" xr:uid="{00000000-0005-0000-0000-000091020000}"/>
    <cellStyle name="_Table_k2-Austria FKA 05 DF update 2009-01 (4)_20100520_Appl Planning_CC-B" xfId="670" xr:uid="{00000000-0005-0000-0000-000092020000}"/>
    <cellStyle name="_Table_k2-Austria FKA 05 DF update 2009-01 (4)_20100610_Appl Planning_CC-B" xfId="671" xr:uid="{00000000-0005-0000-0000-000093020000}"/>
    <cellStyle name="_Table_k2-Austria FKA 05 DF update 2009-01 (4)_20100621_Appl Planning_CC-B" xfId="672" xr:uid="{00000000-0005-0000-0000-000094020000}"/>
    <cellStyle name="_Table_k2-Austria FKA 05 DF update 2009-01 (4)_20100716_Appl Planning_CC-B" xfId="673" xr:uid="{00000000-0005-0000-0000-000095020000}"/>
    <cellStyle name="_Table_k2-Austria FKA 05 DF update 2009-01 (4)_20100916_Appl Planning_CC-B" xfId="674" xr:uid="{00000000-0005-0000-0000-000096020000}"/>
    <cellStyle name="_Table_k2-Austria FKA 05 DF update 2009-03" xfId="675" xr:uid="{00000000-0005-0000-0000-000097020000}"/>
    <cellStyle name="_Table_k2-Austria FKA 05 DF update 2009-03_20100209_Appl Planning_CC-B" xfId="676" xr:uid="{00000000-0005-0000-0000-000098020000}"/>
    <cellStyle name="_Table_k2-Austria FKA 05 DF update 2009-03_20100324_Appl Planning_CC-B" xfId="677" xr:uid="{00000000-0005-0000-0000-000099020000}"/>
    <cellStyle name="_Table_k2-Austria FKA 05 DF update 2009-03_20100520_Appl Planning_CC-B" xfId="678" xr:uid="{00000000-0005-0000-0000-00009A020000}"/>
    <cellStyle name="_Table_k2-Austria FKA 05 DF update 2009-03_20100610_Appl Planning_CC-B" xfId="679" xr:uid="{00000000-0005-0000-0000-00009B020000}"/>
    <cellStyle name="_Table_k2-Austria FKA 05 DF update 2009-03_20100621_Appl Planning_CC-B" xfId="680" xr:uid="{00000000-0005-0000-0000-00009C020000}"/>
    <cellStyle name="_Table_k2-Austria FKA 05 DF update 2009-03_20100716_Appl Planning_CC-B" xfId="681" xr:uid="{00000000-0005-0000-0000-00009D020000}"/>
    <cellStyle name="_Table_k2-Austria FKA 05 DF update 2009-03_20100916_Appl Planning_CC-B" xfId="682" xr:uid="{00000000-0005-0000-0000-00009E020000}"/>
    <cellStyle name="_Table_new 5 07 DE" xfId="683" xr:uid="{00000000-0005-0000-0000-00009F020000}"/>
    <cellStyle name="_Table_new 5 07 DE_20100209_Appl Planning_CC-B" xfId="684" xr:uid="{00000000-0005-0000-0000-0000A0020000}"/>
    <cellStyle name="_Table_new 5 07 DE_20100324_Appl Planning_CC-B" xfId="685" xr:uid="{00000000-0005-0000-0000-0000A1020000}"/>
    <cellStyle name="_Table_new 5 07 DE_20100520_Appl Planning_CC-B" xfId="686" xr:uid="{00000000-0005-0000-0000-0000A2020000}"/>
    <cellStyle name="_Table_new 5 07 DE_20100610_Appl Planning_CC-B" xfId="687" xr:uid="{00000000-0005-0000-0000-0000A3020000}"/>
    <cellStyle name="_Table_new 5 07 DE_20100621_Appl Planning_CC-B" xfId="688" xr:uid="{00000000-0005-0000-0000-0000A4020000}"/>
    <cellStyle name="_Table_new 5 07 DE_20100716_Appl Planning_CC-B" xfId="689" xr:uid="{00000000-0005-0000-0000-0000A5020000}"/>
    <cellStyle name="_Table_new 5 07 DE_20100916_Appl Planning_CC-B" xfId="690" xr:uid="{00000000-0005-0000-0000-0000A6020000}"/>
    <cellStyle name="_Table_overplafond" xfId="691" xr:uid="{00000000-0005-0000-0000-0000A7020000}"/>
    <cellStyle name="_Table_overplafond_20100209_Appl Planning_CC-B" xfId="692" xr:uid="{00000000-0005-0000-0000-0000A8020000}"/>
    <cellStyle name="_Table_overplafond_20100324_Appl Planning_CC-B" xfId="693" xr:uid="{00000000-0005-0000-0000-0000A9020000}"/>
    <cellStyle name="_Table_overplafond_20100520_Appl Planning_CC-B" xfId="694" xr:uid="{00000000-0005-0000-0000-0000AA020000}"/>
    <cellStyle name="_Table_overplafond_20100610_Appl Planning_CC-B" xfId="695" xr:uid="{00000000-0005-0000-0000-0000AB020000}"/>
    <cellStyle name="_Table_overplafond_20100621_Appl Planning_CC-B" xfId="696" xr:uid="{00000000-0005-0000-0000-0000AC020000}"/>
    <cellStyle name="_Table_overplafond_20100716_Appl Planning_CC-B" xfId="697" xr:uid="{00000000-0005-0000-0000-0000AD020000}"/>
    <cellStyle name="_Table_overplafond_20100916_Appl Planning_CC-B" xfId="698" xr:uid="{00000000-0005-0000-0000-0000AE020000}"/>
    <cellStyle name="_Table_préparatifs 5-07" xfId="699" xr:uid="{00000000-0005-0000-0000-0000AF020000}"/>
    <cellStyle name="_Table_préparatifs 5-07_20100209_Appl Planning_CC-B" xfId="700" xr:uid="{00000000-0005-0000-0000-0000B0020000}"/>
    <cellStyle name="_Table_préparatifs 5-07_20100324_Appl Planning_CC-B" xfId="701" xr:uid="{00000000-0005-0000-0000-0000B1020000}"/>
    <cellStyle name="_Table_préparatifs 5-07_20100520_Appl Planning_CC-B" xfId="702" xr:uid="{00000000-0005-0000-0000-0000B2020000}"/>
    <cellStyle name="_Table_préparatifs 5-07_20100610_Appl Planning_CC-B" xfId="703" xr:uid="{00000000-0005-0000-0000-0000B3020000}"/>
    <cellStyle name="_Table_préparatifs 5-07_20100621_Appl Planning_CC-B" xfId="704" xr:uid="{00000000-0005-0000-0000-0000B4020000}"/>
    <cellStyle name="_Table_préparatifs 5-07_20100716_Appl Planning_CC-B" xfId="705" xr:uid="{00000000-0005-0000-0000-0000B5020000}"/>
    <cellStyle name="_Table_préparatifs 5-07_20100916_Appl Planning_CC-B" xfId="706" xr:uid="{00000000-0005-0000-0000-0000B6020000}"/>
    <cellStyle name="_Table_Sheet 5.05b" xfId="707" xr:uid="{00000000-0005-0000-0000-0000B7020000}"/>
    <cellStyle name="_Table_Sheet 5.05b_5.07" xfId="708" xr:uid="{00000000-0005-0000-0000-0000B8020000}"/>
    <cellStyle name="_Table_Sheet 5.05b_5.07 janvier" xfId="709" xr:uid="{00000000-0005-0000-0000-0000B9020000}"/>
    <cellStyle name="_Table_Sheet 5.05b_base 5 07 per k2 dei dati di gennaio 2009" xfId="710" xr:uid="{00000000-0005-0000-0000-0000BA020000}"/>
    <cellStyle name="_Table_Sheet 5.05b_Copie de Fichier K2 30_11_08" xfId="711" xr:uid="{00000000-0005-0000-0000-0000BB020000}"/>
    <cellStyle name="_Table_Sheet 5.05b_Copie de FORMAT K2 31 01 09" xfId="712" xr:uid="{00000000-0005-0000-0000-0000BC020000}"/>
    <cellStyle name="_Table_Sheet 5.05b_Critical still operating 090531" xfId="713" xr:uid="{00000000-0005-0000-0000-0000BD020000}"/>
    <cellStyle name="_Table_Sheet 5.05b_FGA ENCOURS ET FACTURES 2 06 2009" xfId="714" xr:uid="{00000000-0005-0000-0000-0000BE020000}"/>
    <cellStyle name="_Table_Sheet 5.05b_Fichier K2 28_02_09" xfId="715" xr:uid="{00000000-0005-0000-0000-0000BF020000}"/>
    <cellStyle name="_Table_Sheet 5.05b_Fichier K2 30_04_09" xfId="716" xr:uid="{00000000-0005-0000-0000-0000C0020000}"/>
    <cellStyle name="_Table_Sheet 5.05b_Fichier K2 31_01_09" xfId="717" xr:uid="{00000000-0005-0000-0000-0000C1020000}"/>
    <cellStyle name="_Table_Sheet 5.05b_Fichier K2 31_03_09" xfId="718" xr:uid="{00000000-0005-0000-0000-0000C2020000}"/>
    <cellStyle name="_Table_Sheet 5.05b_Fichier K2 31_05_09" xfId="719" xr:uid="{00000000-0005-0000-0000-0000C3020000}"/>
    <cellStyle name="_Table_Sheet 5.05b_Fichier K2 31_12_08" xfId="720" xr:uid="{00000000-0005-0000-0000-0000C4020000}"/>
    <cellStyle name="_Table_Sheet 5.05b_FORMAT K2 30 11 08" xfId="721" xr:uid="{00000000-0005-0000-0000-0000C5020000}"/>
    <cellStyle name="_Table_Sheet 5.05b_FORMAT K2 30 11 08 (12)" xfId="722" xr:uid="{00000000-0005-0000-0000-0000C6020000}"/>
    <cellStyle name="_Table_Sheet 5.05b_FORMAT K2 30 11 08 (13)" xfId="723" xr:uid="{00000000-0005-0000-0000-0000C7020000}"/>
    <cellStyle name="_Table_Sheet 5.05b_FORMAT K2 30 11 08 (14)" xfId="724" xr:uid="{00000000-0005-0000-0000-0000C8020000}"/>
    <cellStyle name="_Table_Sheet 5.05b_FORMAT K2 30 11 08 (15)" xfId="725" xr:uid="{00000000-0005-0000-0000-0000C9020000}"/>
    <cellStyle name="_Table_Sheet 5.05b_FORMAT K2 30 11 08 (16)" xfId="726" xr:uid="{00000000-0005-0000-0000-0000CA020000}"/>
    <cellStyle name="_Table_Sheet 5.05b_FORMAT K2 30 11 08 (17)" xfId="727" xr:uid="{00000000-0005-0000-0000-0000CB020000}"/>
    <cellStyle name="_Table_Sheet 5.05b_FORMAT K2 30 11 08 (18)" xfId="728" xr:uid="{00000000-0005-0000-0000-0000CC020000}"/>
    <cellStyle name="_Table_Sheet 5.05b_FORMAT K2 30 11 08 (19)" xfId="729" xr:uid="{00000000-0005-0000-0000-0000CD020000}"/>
    <cellStyle name="_Table_Sheet 5.05b_FORMAT K2 30 11 08 (20)" xfId="730" xr:uid="{00000000-0005-0000-0000-0000CE020000}"/>
    <cellStyle name="_Table_Sheet 5.05b_FORMAT K2 31 01 09" xfId="731" xr:uid="{00000000-0005-0000-0000-0000CF020000}"/>
    <cellStyle name="_Table_Sheet 5.05b_FORMAT K2 31 01 09 (14)" xfId="732" xr:uid="{00000000-0005-0000-0000-0000D0020000}"/>
    <cellStyle name="_Table_Sheet 5.05b_FORMAT K2 31 01 09 (22)" xfId="733" xr:uid="{00000000-0005-0000-0000-0000D1020000}"/>
    <cellStyle name="_Table_Sheet 5.05b_FORMAT K2 31 03 09 UK" xfId="734" xr:uid="{00000000-0005-0000-0000-0000D2020000}"/>
    <cellStyle name="_Table_Sheet 5.05b_FORMAT K2 31 05 09 FRANCE" xfId="735" xr:uid="{00000000-0005-0000-0000-0000D3020000}"/>
    <cellStyle name="_Table_Sheet 5.05b_FORMAT K2 31 12 08" xfId="736" xr:uid="{00000000-0005-0000-0000-0000D4020000}"/>
    <cellStyle name="_Table_Sheet 5.05b_FORMAT K2 31 12 08 (2)" xfId="737" xr:uid="{00000000-0005-0000-0000-0000D5020000}"/>
    <cellStyle name="_Table_Sheet 5.05b_FORMAT K2 31 12 08 (3)" xfId="738" xr:uid="{00000000-0005-0000-0000-0000D6020000}"/>
    <cellStyle name="_Table_Sheet 5.05b_FORMAT K2 31 12 08 (4)" xfId="739" xr:uid="{00000000-0005-0000-0000-0000D7020000}"/>
    <cellStyle name="_Table_Sheet 5.05b_FORMAT K2 31 12 08 (5)" xfId="740" xr:uid="{00000000-0005-0000-0000-0000D8020000}"/>
    <cellStyle name="_Table_Sheet 5.05b_FORMAT K2 31 12 08 (6)" xfId="741" xr:uid="{00000000-0005-0000-0000-0000D9020000}"/>
    <cellStyle name="_Table_Sheet 5.05b_FORMAT K2 31 12 08 (7)" xfId="742" xr:uid="{00000000-0005-0000-0000-0000DA020000}"/>
    <cellStyle name="_Table_Sheet 5.05b_FORMAT K2 31 12 08 (8)" xfId="743" xr:uid="{00000000-0005-0000-0000-0000DB020000}"/>
    <cellStyle name="_Table_Sheet 5.05b_FORMAT K2 ENERO (6)" xfId="744" xr:uid="{00000000-0005-0000-0000-0000DC020000}"/>
    <cellStyle name="_Table_Sheet 5.05b_K2 April 2009" xfId="745" xr:uid="{00000000-0005-0000-0000-0000DD020000}"/>
    <cellStyle name="_Table_Sheet 5.05b_K2 av 2009 - version MCLT" xfId="746" xr:uid="{00000000-0005-0000-0000-0000DE020000}"/>
    <cellStyle name="_Table_Sheet 5.05b_K2 December 2008" xfId="747" xr:uid="{00000000-0005-0000-0000-0000DF020000}"/>
    <cellStyle name="_Table_Sheet 5.05b_K2 February 2009" xfId="748" xr:uid="{00000000-0005-0000-0000-0000E0020000}"/>
    <cellStyle name="_Table_Sheet 5.05b_K2 January 2009 (3)" xfId="749" xr:uid="{00000000-0005-0000-0000-0000E1020000}"/>
    <cellStyle name="_Table_Sheet 5.05b_K2 mai 2009 - version MCLT" xfId="750" xr:uid="{00000000-0005-0000-0000-0000E2020000}"/>
    <cellStyle name="_Table_Sheet 5.05b_K2 Mars 2009" xfId="751" xr:uid="{00000000-0005-0000-0000-0000E3020000}"/>
    <cellStyle name="_Table_Sheet 5.05b_K2 November 2008 Francia" xfId="752" xr:uid="{00000000-0005-0000-0000-0000E4020000}"/>
    <cellStyle name="_Table_Sheet 5.05b_preparatifs 5.07" xfId="753" xr:uid="{00000000-0005-0000-0000-0000E5020000}"/>
    <cellStyle name="_Table_Sheet 5.05b_preparatifs 5.22-23" xfId="754" xr:uid="{00000000-0005-0000-0000-0000E6020000}"/>
    <cellStyle name="_Table_Sheet 5.05b_préparatifs 5-07" xfId="755" xr:uid="{00000000-0005-0000-0000-0000E7020000}"/>
    <cellStyle name="_TableHead" xfId="756" xr:uid="{00000000-0005-0000-0000-0000E8020000}"/>
    <cellStyle name="_TableHead_20081202 - Austria" xfId="757" xr:uid="{00000000-0005-0000-0000-0000E9020000}"/>
    <cellStyle name="_TableHead_20081202 - Austria_20100209_Appl Planning_CC-B" xfId="758" xr:uid="{00000000-0005-0000-0000-0000EA020000}"/>
    <cellStyle name="_TableHead_20081202 - Austria_20100324_Appl Planning_CC-B" xfId="759" xr:uid="{00000000-0005-0000-0000-0000EB020000}"/>
    <cellStyle name="_TableHead_20081202 - Austria_20100520_Appl Planning_CC-B" xfId="760" xr:uid="{00000000-0005-0000-0000-0000EC020000}"/>
    <cellStyle name="_TableHead_20081202 - Austria_20100610_Appl Planning_CC-B" xfId="761" xr:uid="{00000000-0005-0000-0000-0000ED020000}"/>
    <cellStyle name="_TableHead_20081202 - Austria_20100621_Appl Planning_CC-B" xfId="762" xr:uid="{00000000-0005-0000-0000-0000EE020000}"/>
    <cellStyle name="_TableHead_20081202 - Austria_20100716_Appl Planning_CC-B" xfId="763" xr:uid="{00000000-0005-0000-0000-0000EF020000}"/>
    <cellStyle name="_TableHead_20081202 - Austria_20100916_Appl Planning_CC-B" xfId="764" xr:uid="{00000000-0005-0000-0000-0000F0020000}"/>
    <cellStyle name="_TableHead_20081202 - Denmark" xfId="765" xr:uid="{00000000-0005-0000-0000-0000F1020000}"/>
    <cellStyle name="_TableHead_20081202 - Denmark_20100209_Appl Planning_CC-B" xfId="766" xr:uid="{00000000-0005-0000-0000-0000F2020000}"/>
    <cellStyle name="_TableHead_20081202 - Denmark_20100324_Appl Planning_CC-B" xfId="767" xr:uid="{00000000-0005-0000-0000-0000F3020000}"/>
    <cellStyle name="_TableHead_20081202 - Denmark_20100520_Appl Planning_CC-B" xfId="768" xr:uid="{00000000-0005-0000-0000-0000F4020000}"/>
    <cellStyle name="_TableHead_20081202 - Denmark_20100610_Appl Planning_CC-B" xfId="769" xr:uid="{00000000-0005-0000-0000-0000F5020000}"/>
    <cellStyle name="_TableHead_20081202 - Denmark_20100621_Appl Planning_CC-B" xfId="770" xr:uid="{00000000-0005-0000-0000-0000F6020000}"/>
    <cellStyle name="_TableHead_20081202 - Denmark_20100716_Appl Planning_CC-B" xfId="771" xr:uid="{00000000-0005-0000-0000-0000F7020000}"/>
    <cellStyle name="_TableHead_20081202 - Denmark_20100916_Appl Planning_CC-B" xfId="772" xr:uid="{00000000-0005-0000-0000-0000F8020000}"/>
    <cellStyle name="_TableHead_20081202 - Poland" xfId="773" xr:uid="{00000000-0005-0000-0000-0000F9020000}"/>
    <cellStyle name="_TableHead_20081202 - Poland_20100209_Appl Planning_CC-B" xfId="774" xr:uid="{00000000-0005-0000-0000-0000FA020000}"/>
    <cellStyle name="_TableHead_20081202 - Poland_20100324_Appl Planning_CC-B" xfId="775" xr:uid="{00000000-0005-0000-0000-0000FB020000}"/>
    <cellStyle name="_TableHead_20081202 - Poland_20100520_Appl Planning_CC-B" xfId="776" xr:uid="{00000000-0005-0000-0000-0000FC020000}"/>
    <cellStyle name="_TableHead_20081202 - Poland_20100610_Appl Planning_CC-B" xfId="777" xr:uid="{00000000-0005-0000-0000-0000FD020000}"/>
    <cellStyle name="_TableHead_20081202 - Poland_20100621_Appl Planning_CC-B" xfId="778" xr:uid="{00000000-0005-0000-0000-0000FE020000}"/>
    <cellStyle name="_TableHead_20081202 - Poland_20100716_Appl Planning_CC-B" xfId="779" xr:uid="{00000000-0005-0000-0000-0000FF020000}"/>
    <cellStyle name="_TableHead_20081202 - Poland_20100916_Appl Planning_CC-B" xfId="780" xr:uid="{00000000-0005-0000-0000-000000030000}"/>
    <cellStyle name="_TableHead_5 07 inviato per novembre al mercato" xfId="781" xr:uid="{00000000-0005-0000-0000-000001030000}"/>
    <cellStyle name="_TableHead_5 07 inviato per novembre al mercato_20100209_Appl Planning_CC-B" xfId="782" xr:uid="{00000000-0005-0000-0000-000002030000}"/>
    <cellStyle name="_TableHead_5 07 inviato per novembre al mercato_20100324_Appl Planning_CC-B" xfId="783" xr:uid="{00000000-0005-0000-0000-000003030000}"/>
    <cellStyle name="_TableHead_5 07 inviato per novembre al mercato_20100520_Appl Planning_CC-B" xfId="784" xr:uid="{00000000-0005-0000-0000-000004030000}"/>
    <cellStyle name="_TableHead_5 07 inviato per novembre al mercato_20100610_Appl Planning_CC-B" xfId="785" xr:uid="{00000000-0005-0000-0000-000005030000}"/>
    <cellStyle name="_TableHead_5 07 inviato per novembre al mercato_20100621_Appl Planning_CC-B" xfId="786" xr:uid="{00000000-0005-0000-0000-000006030000}"/>
    <cellStyle name="_TableHead_5 07 inviato per novembre al mercato_20100716_Appl Planning_CC-B" xfId="787" xr:uid="{00000000-0005-0000-0000-000007030000}"/>
    <cellStyle name="_TableHead_5 07 inviato per novembre al mercato_20100916_Appl Planning_CC-B" xfId="788" xr:uid="{00000000-0005-0000-0000-000008030000}"/>
    <cellStyle name="_TableHead_5 07 k2 con dati di novembre" xfId="789" xr:uid="{00000000-0005-0000-0000-000009030000}"/>
    <cellStyle name="_TableHead_5 07 k2 con dati di novembre_20100209_Appl Planning_CC-B" xfId="790" xr:uid="{00000000-0005-0000-0000-00000A030000}"/>
    <cellStyle name="_TableHead_5 07 k2 con dati di novembre_20100324_Appl Planning_CC-B" xfId="791" xr:uid="{00000000-0005-0000-0000-00000B030000}"/>
    <cellStyle name="_TableHead_5 07 k2 con dati di novembre_20100520_Appl Planning_CC-B" xfId="792" xr:uid="{00000000-0005-0000-0000-00000C030000}"/>
    <cellStyle name="_TableHead_5 07 k2 con dati di novembre_20100610_Appl Planning_CC-B" xfId="793" xr:uid="{00000000-0005-0000-0000-00000D030000}"/>
    <cellStyle name="_TableHead_5 07 k2 con dati di novembre_20100621_Appl Planning_CC-B" xfId="794" xr:uid="{00000000-0005-0000-0000-00000E030000}"/>
    <cellStyle name="_TableHead_5 07 k2 con dati di novembre_20100716_Appl Planning_CC-B" xfId="795" xr:uid="{00000000-0005-0000-0000-00000F030000}"/>
    <cellStyle name="_TableHead_5 07 k2 con dati di novembre_20100916_Appl Planning_CC-B" xfId="796" xr:uid="{00000000-0005-0000-0000-000010030000}"/>
    <cellStyle name="_TableHead_Cartel1 (7)" xfId="797" xr:uid="{00000000-0005-0000-0000-000011030000}"/>
    <cellStyle name="_TableHead_Cartel1 (7)_20100209_Appl Planning_CC-B" xfId="798" xr:uid="{00000000-0005-0000-0000-000012030000}"/>
    <cellStyle name="_TableHead_Cartel1 (7)_20100324_Appl Planning_CC-B" xfId="799" xr:uid="{00000000-0005-0000-0000-000013030000}"/>
    <cellStyle name="_TableHead_Cartel1 (7)_20100520_Appl Planning_CC-B" xfId="800" xr:uid="{00000000-0005-0000-0000-000014030000}"/>
    <cellStyle name="_TableHead_Cartel1 (7)_20100610_Appl Planning_CC-B" xfId="801" xr:uid="{00000000-0005-0000-0000-000015030000}"/>
    <cellStyle name="_TableHead_Cartel1 (7)_20100621_Appl Planning_CC-B" xfId="802" xr:uid="{00000000-0005-0000-0000-000016030000}"/>
    <cellStyle name="_TableHead_Cartel1 (7)_20100716_Appl Planning_CC-B" xfId="803" xr:uid="{00000000-0005-0000-0000-000017030000}"/>
    <cellStyle name="_TableHead_Cartel1 (7)_20100916_Appl Planning_CC-B" xfId="804" xr:uid="{00000000-0005-0000-0000-000018030000}"/>
    <cellStyle name="_TableHead_Copie de K2 févrierr2009 - version MCLT" xfId="805" xr:uid="{00000000-0005-0000-0000-000019030000}"/>
    <cellStyle name="_TableHead_Copie de K2 févrierr2009 - version MCLT_20100209_Appl Planning_CC-B" xfId="806" xr:uid="{00000000-0005-0000-0000-00001A030000}"/>
    <cellStyle name="_TableHead_Copie de K2 févrierr2009 - version MCLT_20100324_Appl Planning_CC-B" xfId="807" xr:uid="{00000000-0005-0000-0000-00001B030000}"/>
    <cellStyle name="_TableHead_Copie de K2 févrierr2009 - version MCLT_20100520_Appl Planning_CC-B" xfId="808" xr:uid="{00000000-0005-0000-0000-00001C030000}"/>
    <cellStyle name="_TableHead_Copie de K2 févrierr2009 - version MCLT_20100610_Appl Planning_CC-B" xfId="809" xr:uid="{00000000-0005-0000-0000-00001D030000}"/>
    <cellStyle name="_TableHead_Copie de K2 févrierr2009 - version MCLT_20100621_Appl Planning_CC-B" xfId="810" xr:uid="{00000000-0005-0000-0000-00001E030000}"/>
    <cellStyle name="_TableHead_Copie de K2 févrierr2009 - version MCLT_20100716_Appl Planning_CC-B" xfId="811" xr:uid="{00000000-0005-0000-0000-00001F030000}"/>
    <cellStyle name="_TableHead_Copie de K2 févrierr2009 - version MCLT_20100916_Appl Planning_CC-B" xfId="812" xr:uid="{00000000-0005-0000-0000-000020030000}"/>
    <cellStyle name="_TableHead_Copie de K2 mars 2009 - version MCLT" xfId="813" xr:uid="{00000000-0005-0000-0000-000021030000}"/>
    <cellStyle name="_TableHead_Copie de K2 mars 2009 - version MCLT_20100209_Appl Planning_CC-B" xfId="814" xr:uid="{00000000-0005-0000-0000-000022030000}"/>
    <cellStyle name="_TableHead_Copie de K2 mars 2009 - version MCLT_20100324_Appl Planning_CC-B" xfId="815" xr:uid="{00000000-0005-0000-0000-000023030000}"/>
    <cellStyle name="_TableHead_Copie de K2 mars 2009 - version MCLT_20100520_Appl Planning_CC-B" xfId="816" xr:uid="{00000000-0005-0000-0000-000024030000}"/>
    <cellStyle name="_TableHead_Copie de K2 mars 2009 - version MCLT_20100610_Appl Planning_CC-B" xfId="817" xr:uid="{00000000-0005-0000-0000-000025030000}"/>
    <cellStyle name="_TableHead_Copie de K2 mars 2009 - version MCLT_20100621_Appl Planning_CC-B" xfId="818" xr:uid="{00000000-0005-0000-0000-000026030000}"/>
    <cellStyle name="_TableHead_Copie de K2 mars 2009 - version MCLT_20100716_Appl Planning_CC-B" xfId="819" xr:uid="{00000000-0005-0000-0000-000027030000}"/>
    <cellStyle name="_TableHead_Copie de K2 mars 2009 - version MCLT_20100916_Appl Planning_CC-B" xfId="820" xr:uid="{00000000-0005-0000-0000-000028030000}"/>
    <cellStyle name="_TableHead_Copie de K2 novembre 2008 - version MCLT" xfId="821" xr:uid="{00000000-0005-0000-0000-000029030000}"/>
    <cellStyle name="_TableHead_Copie de K2 novembre 2008 - version MCLT_20100209_Appl Planning_CC-B" xfId="822" xr:uid="{00000000-0005-0000-0000-00002A030000}"/>
    <cellStyle name="_TableHead_Copie de K2 novembre 2008 - version MCLT_20100324_Appl Planning_CC-B" xfId="823" xr:uid="{00000000-0005-0000-0000-00002B030000}"/>
    <cellStyle name="_TableHead_Copie de K2 novembre 2008 - version MCLT_20100520_Appl Planning_CC-B" xfId="824" xr:uid="{00000000-0005-0000-0000-00002C030000}"/>
    <cellStyle name="_TableHead_Copie de K2 novembre 2008 - version MCLT_20100610_Appl Planning_CC-B" xfId="825" xr:uid="{00000000-0005-0000-0000-00002D030000}"/>
    <cellStyle name="_TableHead_Copie de K2 novembre 2008 - version MCLT_20100621_Appl Planning_CC-B" xfId="826" xr:uid="{00000000-0005-0000-0000-00002E030000}"/>
    <cellStyle name="_TableHead_Copie de K2 novembre 2008 - version MCLT_20100716_Appl Planning_CC-B" xfId="827" xr:uid="{00000000-0005-0000-0000-00002F030000}"/>
    <cellStyle name="_TableHead_Copie de K2 novembre 2008 - version MCLT_20100916_Appl Planning_CC-B" xfId="828" xr:uid="{00000000-0005-0000-0000-000030030000}"/>
    <cellStyle name="_TableHead_CRITICAL STILL OPERATING" xfId="829" xr:uid="{00000000-0005-0000-0000-000031030000}"/>
    <cellStyle name="_TableHead_CRITICAL STILL OPERATING_20100209_Appl Planning_CC-B" xfId="830" xr:uid="{00000000-0005-0000-0000-000032030000}"/>
    <cellStyle name="_TableHead_CRITICAL STILL OPERATING_20100324_Appl Planning_CC-B" xfId="831" xr:uid="{00000000-0005-0000-0000-000033030000}"/>
    <cellStyle name="_TableHead_CRITICAL STILL OPERATING_20100520_Appl Planning_CC-B" xfId="832" xr:uid="{00000000-0005-0000-0000-000034030000}"/>
    <cellStyle name="_TableHead_CRITICAL STILL OPERATING_20100610_Appl Planning_CC-B" xfId="833" xr:uid="{00000000-0005-0000-0000-000035030000}"/>
    <cellStyle name="_TableHead_CRITICAL STILL OPERATING_20100621_Appl Planning_CC-B" xfId="834" xr:uid="{00000000-0005-0000-0000-000036030000}"/>
    <cellStyle name="_TableHead_CRITICAL STILL OPERATING_20100716_Appl Planning_CC-B" xfId="835" xr:uid="{00000000-0005-0000-0000-000037030000}"/>
    <cellStyle name="_TableHead_CRITICAL STILL OPERATING_20100916_Appl Planning_CC-B" xfId="836" xr:uid="{00000000-0005-0000-0000-000038030000}"/>
    <cellStyle name="_TableHead_Feuil1" xfId="837" xr:uid="{00000000-0005-0000-0000-000039030000}"/>
    <cellStyle name="_TableHead_FORMAT K2 NOVEMBER 2008" xfId="838" xr:uid="{00000000-0005-0000-0000-00003A030000}"/>
    <cellStyle name="_TableHead_FORMAT K2 NOVEMBER 2008 (2)" xfId="839" xr:uid="{00000000-0005-0000-0000-00003B030000}"/>
    <cellStyle name="_TableHead_FORMAT K2 NOVEMBER 2008 (2)_20100209_Appl Planning_CC-B" xfId="840" xr:uid="{00000000-0005-0000-0000-00003C030000}"/>
    <cellStyle name="_TableHead_FORMAT K2 NOVEMBER 2008 (2)_20100324_Appl Planning_CC-B" xfId="841" xr:uid="{00000000-0005-0000-0000-00003D030000}"/>
    <cellStyle name="_TableHead_FORMAT K2 NOVEMBER 2008 (2)_20100520_Appl Planning_CC-B" xfId="842" xr:uid="{00000000-0005-0000-0000-00003E030000}"/>
    <cellStyle name="_TableHead_FORMAT K2 NOVEMBER 2008 (2)_20100610_Appl Planning_CC-B" xfId="843" xr:uid="{00000000-0005-0000-0000-00003F030000}"/>
    <cellStyle name="_TableHead_FORMAT K2 NOVEMBER 2008 (2)_20100621_Appl Planning_CC-B" xfId="844" xr:uid="{00000000-0005-0000-0000-000040030000}"/>
    <cellStyle name="_TableHead_FORMAT K2 NOVEMBER 2008 (2)_20100716_Appl Planning_CC-B" xfId="845" xr:uid="{00000000-0005-0000-0000-000041030000}"/>
    <cellStyle name="_TableHead_FORMAT K2 NOVEMBER 2008 (2)_20100916_Appl Planning_CC-B" xfId="846" xr:uid="{00000000-0005-0000-0000-000042030000}"/>
    <cellStyle name="_TableHead_FORMAT K2 NOVEMBER 2008 (3)" xfId="847" xr:uid="{00000000-0005-0000-0000-000043030000}"/>
    <cellStyle name="_TableHead_FORMAT K2 NOVEMBER 2008 (3)_20100209_Appl Planning_CC-B" xfId="848" xr:uid="{00000000-0005-0000-0000-000044030000}"/>
    <cellStyle name="_TableHead_FORMAT K2 NOVEMBER 2008 (3)_20100324_Appl Planning_CC-B" xfId="849" xr:uid="{00000000-0005-0000-0000-000045030000}"/>
    <cellStyle name="_TableHead_FORMAT K2 NOVEMBER 2008 (3)_20100520_Appl Planning_CC-B" xfId="850" xr:uid="{00000000-0005-0000-0000-000046030000}"/>
    <cellStyle name="_TableHead_FORMAT K2 NOVEMBER 2008 (3)_20100610_Appl Planning_CC-B" xfId="851" xr:uid="{00000000-0005-0000-0000-000047030000}"/>
    <cellStyle name="_TableHead_FORMAT K2 NOVEMBER 2008 (3)_20100621_Appl Planning_CC-B" xfId="852" xr:uid="{00000000-0005-0000-0000-000048030000}"/>
    <cellStyle name="_TableHead_FORMAT K2 NOVEMBER 2008 (3)_20100716_Appl Planning_CC-B" xfId="853" xr:uid="{00000000-0005-0000-0000-000049030000}"/>
    <cellStyle name="_TableHead_FORMAT K2 NOVEMBER 2008 (3)_20100916_Appl Planning_CC-B" xfId="854" xr:uid="{00000000-0005-0000-0000-00004A030000}"/>
    <cellStyle name="_TableHead_FORMAT K2 NOVEMBER 2008 SVIZZERA" xfId="855" xr:uid="{00000000-0005-0000-0000-00004B030000}"/>
    <cellStyle name="_TableHead_FORMAT K2 NOVEMBER 2008 SVIZZERA_20100209_Appl Planning_CC-B" xfId="856" xr:uid="{00000000-0005-0000-0000-00004C030000}"/>
    <cellStyle name="_TableHead_FORMAT K2 NOVEMBER 2008 SVIZZERA_20100324_Appl Planning_CC-B" xfId="857" xr:uid="{00000000-0005-0000-0000-00004D030000}"/>
    <cellStyle name="_TableHead_FORMAT K2 NOVEMBER 2008 SVIZZERA_20100520_Appl Planning_CC-B" xfId="858" xr:uid="{00000000-0005-0000-0000-00004E030000}"/>
    <cellStyle name="_TableHead_FORMAT K2 NOVEMBER 2008 SVIZZERA_20100610_Appl Planning_CC-B" xfId="859" xr:uid="{00000000-0005-0000-0000-00004F030000}"/>
    <cellStyle name="_TableHead_FORMAT K2 NOVEMBER 2008 SVIZZERA_20100621_Appl Planning_CC-B" xfId="860" xr:uid="{00000000-0005-0000-0000-000050030000}"/>
    <cellStyle name="_TableHead_FORMAT K2 NOVEMBER 2008 SVIZZERA_20100716_Appl Planning_CC-B" xfId="861" xr:uid="{00000000-0005-0000-0000-000051030000}"/>
    <cellStyle name="_TableHead_FORMAT K2 NOVEMBER 2008 SVIZZERA_20100916_Appl Planning_CC-B" xfId="862" xr:uid="{00000000-0005-0000-0000-000052030000}"/>
    <cellStyle name="_TableHead_FORMAT K2 NOVEMBER 2008_20100209_Appl Planning_CC-B" xfId="863" xr:uid="{00000000-0005-0000-0000-000053030000}"/>
    <cellStyle name="_TableHead_FORMAT K2 NOVEMBER 2008_20100324_Appl Planning_CC-B" xfId="864" xr:uid="{00000000-0005-0000-0000-000054030000}"/>
    <cellStyle name="_TableHead_FORMAT K2 NOVEMBER 2008_20100520_Appl Planning_CC-B" xfId="865" xr:uid="{00000000-0005-0000-0000-000055030000}"/>
    <cellStyle name="_TableHead_FORMAT K2 NOVEMBER 2008_20100610_Appl Planning_CC-B" xfId="866" xr:uid="{00000000-0005-0000-0000-000056030000}"/>
    <cellStyle name="_TableHead_FORMAT K2 NOVEMBER 2008_20100621_Appl Planning_CC-B" xfId="867" xr:uid="{00000000-0005-0000-0000-000057030000}"/>
    <cellStyle name="_TableHead_FORMAT K2 NOVEMBER 2008_20100716_Appl Planning_CC-B" xfId="868" xr:uid="{00000000-0005-0000-0000-000058030000}"/>
    <cellStyle name="_TableHead_FORMAT K2 NOVEMBER 2008_20100916_Appl Planning_CC-B" xfId="869" xr:uid="{00000000-0005-0000-0000-000059030000}"/>
    <cellStyle name="_TableHead_FORMAT K2 OCTOBER 2008 BELGIO (2)" xfId="870" xr:uid="{00000000-0005-0000-0000-00005A030000}"/>
    <cellStyle name="_TableHead_FORMAT K2 OCTOBER 2008 BELGIO (2)_20100209_Appl Planning_CC-B" xfId="871" xr:uid="{00000000-0005-0000-0000-00005B030000}"/>
    <cellStyle name="_TableHead_FORMAT K2 OCTOBER 2008 BELGIO (2)_20100324_Appl Planning_CC-B" xfId="872" xr:uid="{00000000-0005-0000-0000-00005C030000}"/>
    <cellStyle name="_TableHead_FORMAT K2 OCTOBER 2008 BELGIO (2)_20100520_Appl Planning_CC-B" xfId="873" xr:uid="{00000000-0005-0000-0000-00005D030000}"/>
    <cellStyle name="_TableHead_FORMAT K2 OCTOBER 2008 BELGIO (2)_20100610_Appl Planning_CC-B" xfId="874" xr:uid="{00000000-0005-0000-0000-00005E030000}"/>
    <cellStyle name="_TableHead_FORMAT K2 OCTOBER 2008 BELGIO (2)_20100621_Appl Planning_CC-B" xfId="875" xr:uid="{00000000-0005-0000-0000-00005F030000}"/>
    <cellStyle name="_TableHead_FORMAT K2 OCTOBER 2008 BELGIO (2)_20100716_Appl Planning_CC-B" xfId="876" xr:uid="{00000000-0005-0000-0000-000060030000}"/>
    <cellStyle name="_TableHead_FORMAT K2 OCTOBER 2008 BELGIO (2)_20100916_Appl Planning_CC-B" xfId="877" xr:uid="{00000000-0005-0000-0000-000061030000}"/>
    <cellStyle name="_TableHead_FORMAT K2 OCTOBER 2008 SPAGNA (2)" xfId="878" xr:uid="{00000000-0005-0000-0000-000062030000}"/>
    <cellStyle name="_TableHead_FORMAT K2 OCTOBER 2008 SPAGNA (2)_20100209_Appl Planning_CC-B" xfId="879" xr:uid="{00000000-0005-0000-0000-000063030000}"/>
    <cellStyle name="_TableHead_FORMAT K2 OCTOBER 2008 SPAGNA (2)_20100324_Appl Planning_CC-B" xfId="880" xr:uid="{00000000-0005-0000-0000-000064030000}"/>
    <cellStyle name="_TableHead_FORMAT K2 OCTOBER 2008 SPAGNA (2)_20100520_Appl Planning_CC-B" xfId="881" xr:uid="{00000000-0005-0000-0000-000065030000}"/>
    <cellStyle name="_TableHead_FORMAT K2 OCTOBER 2008 SPAGNA (2)_20100610_Appl Planning_CC-B" xfId="882" xr:uid="{00000000-0005-0000-0000-000066030000}"/>
    <cellStyle name="_TableHead_FORMAT K2 OCTOBER 2008 SPAGNA (2)_20100621_Appl Planning_CC-B" xfId="883" xr:uid="{00000000-0005-0000-0000-000067030000}"/>
    <cellStyle name="_TableHead_FORMAT K2 OCTOBER 2008 SPAGNA (2)_20100716_Appl Planning_CC-B" xfId="884" xr:uid="{00000000-0005-0000-0000-000068030000}"/>
    <cellStyle name="_TableHead_FORMAT K2 OCTOBER 2008 SPAGNA (2)_20100916_Appl Planning_CC-B" xfId="885" xr:uid="{00000000-0005-0000-0000-000069030000}"/>
    <cellStyle name="_TableHead_K2 DEC" xfId="886" xr:uid="{00000000-0005-0000-0000-00006A030000}"/>
    <cellStyle name="_TableHead_K2 DEC_20100209_Appl Planning_CC-B" xfId="887" xr:uid="{00000000-0005-0000-0000-00006B030000}"/>
    <cellStyle name="_TableHead_K2 DEC_20100324_Appl Planning_CC-B" xfId="888" xr:uid="{00000000-0005-0000-0000-00006C030000}"/>
    <cellStyle name="_TableHead_K2 DEC_20100520_Appl Planning_CC-B" xfId="889" xr:uid="{00000000-0005-0000-0000-00006D030000}"/>
    <cellStyle name="_TableHead_K2 DEC_20100610_Appl Planning_CC-B" xfId="890" xr:uid="{00000000-0005-0000-0000-00006E030000}"/>
    <cellStyle name="_TableHead_K2 DEC_20100621_Appl Planning_CC-B" xfId="891" xr:uid="{00000000-0005-0000-0000-00006F030000}"/>
    <cellStyle name="_TableHead_K2 DEC_20100716_Appl Planning_CC-B" xfId="892" xr:uid="{00000000-0005-0000-0000-000070030000}"/>
    <cellStyle name="_TableHead_K2 DEC_20100916_Appl Planning_CC-B" xfId="893" xr:uid="{00000000-0005-0000-0000-000071030000}"/>
    <cellStyle name="_TableHead_K2 décembre 2008 - version MCLT" xfId="894" xr:uid="{00000000-0005-0000-0000-000072030000}"/>
    <cellStyle name="_TableHead_K2 décembre 2008 - version MCLT_20100209_Appl Planning_CC-B" xfId="895" xr:uid="{00000000-0005-0000-0000-000073030000}"/>
    <cellStyle name="_TableHead_K2 décembre 2008 - version MCLT_20100324_Appl Planning_CC-B" xfId="896" xr:uid="{00000000-0005-0000-0000-000074030000}"/>
    <cellStyle name="_TableHead_K2 décembre 2008 - version MCLT_20100520_Appl Planning_CC-B" xfId="897" xr:uid="{00000000-0005-0000-0000-000075030000}"/>
    <cellStyle name="_TableHead_K2 décembre 2008 - version MCLT_20100610_Appl Planning_CC-B" xfId="898" xr:uid="{00000000-0005-0000-0000-000076030000}"/>
    <cellStyle name="_TableHead_K2 décembre 2008 - version MCLT_20100621_Appl Planning_CC-B" xfId="899" xr:uid="{00000000-0005-0000-0000-000077030000}"/>
    <cellStyle name="_TableHead_K2 décembre 2008 - version MCLT_20100716_Appl Planning_CC-B" xfId="900" xr:uid="{00000000-0005-0000-0000-000078030000}"/>
    <cellStyle name="_TableHead_K2 décembre 2008 - version MCLT_20100916_Appl Planning_CC-B" xfId="901" xr:uid="{00000000-0005-0000-0000-000079030000}"/>
    <cellStyle name="_TableHead_K2 Mars 2009" xfId="902" xr:uid="{00000000-0005-0000-0000-00007A030000}"/>
    <cellStyle name="_TableHead_K2 NOV" xfId="903" xr:uid="{00000000-0005-0000-0000-00007B030000}"/>
    <cellStyle name="_TableHead_K2 NOV_20100209_Appl Planning_CC-B" xfId="904" xr:uid="{00000000-0005-0000-0000-00007C030000}"/>
    <cellStyle name="_TableHead_K2 NOV_20100324_Appl Planning_CC-B" xfId="905" xr:uid="{00000000-0005-0000-0000-00007D030000}"/>
    <cellStyle name="_TableHead_K2 NOV_20100520_Appl Planning_CC-B" xfId="906" xr:uid="{00000000-0005-0000-0000-00007E030000}"/>
    <cellStyle name="_TableHead_K2 NOV_20100610_Appl Planning_CC-B" xfId="907" xr:uid="{00000000-0005-0000-0000-00007F030000}"/>
    <cellStyle name="_TableHead_K2 NOV_20100621_Appl Planning_CC-B" xfId="908" xr:uid="{00000000-0005-0000-0000-000080030000}"/>
    <cellStyle name="_TableHead_K2 NOV_20100716_Appl Planning_CC-B" xfId="909" xr:uid="{00000000-0005-0000-0000-000081030000}"/>
    <cellStyle name="_TableHead_K2 NOV_20100916_Appl Planning_CC-B" xfId="910" xr:uid="{00000000-0005-0000-0000-000082030000}"/>
    <cellStyle name="_TableHead_k2-Austria FKA 05 DF update 2009-01 (4)" xfId="911" xr:uid="{00000000-0005-0000-0000-000083030000}"/>
    <cellStyle name="_TableHead_k2-Austria FKA 05 DF update 2009-01 (4)_20100209_Appl Planning_CC-B" xfId="912" xr:uid="{00000000-0005-0000-0000-000084030000}"/>
    <cellStyle name="_TableHead_k2-Austria FKA 05 DF update 2009-01 (4)_20100324_Appl Planning_CC-B" xfId="913" xr:uid="{00000000-0005-0000-0000-000085030000}"/>
    <cellStyle name="_TableHead_k2-Austria FKA 05 DF update 2009-01 (4)_20100520_Appl Planning_CC-B" xfId="914" xr:uid="{00000000-0005-0000-0000-000086030000}"/>
    <cellStyle name="_TableHead_k2-Austria FKA 05 DF update 2009-01 (4)_20100610_Appl Planning_CC-B" xfId="915" xr:uid="{00000000-0005-0000-0000-000087030000}"/>
    <cellStyle name="_TableHead_k2-Austria FKA 05 DF update 2009-01 (4)_20100621_Appl Planning_CC-B" xfId="916" xr:uid="{00000000-0005-0000-0000-000088030000}"/>
    <cellStyle name="_TableHead_k2-Austria FKA 05 DF update 2009-01 (4)_20100716_Appl Planning_CC-B" xfId="917" xr:uid="{00000000-0005-0000-0000-000089030000}"/>
    <cellStyle name="_TableHead_k2-Austria FKA 05 DF update 2009-01 (4)_20100916_Appl Planning_CC-B" xfId="918" xr:uid="{00000000-0005-0000-0000-00008A030000}"/>
    <cellStyle name="_TableHead_k2-Austria FKA 05 DF update 2009-03" xfId="919" xr:uid="{00000000-0005-0000-0000-00008B030000}"/>
    <cellStyle name="_TableHead_k2-Austria FKA 05 DF update 2009-03_20100209_Appl Planning_CC-B" xfId="920" xr:uid="{00000000-0005-0000-0000-00008C030000}"/>
    <cellStyle name="_TableHead_k2-Austria FKA 05 DF update 2009-03_20100324_Appl Planning_CC-B" xfId="921" xr:uid="{00000000-0005-0000-0000-00008D030000}"/>
    <cellStyle name="_TableHead_k2-Austria FKA 05 DF update 2009-03_20100520_Appl Planning_CC-B" xfId="922" xr:uid="{00000000-0005-0000-0000-00008E030000}"/>
    <cellStyle name="_TableHead_k2-Austria FKA 05 DF update 2009-03_20100610_Appl Planning_CC-B" xfId="923" xr:uid="{00000000-0005-0000-0000-00008F030000}"/>
    <cellStyle name="_TableHead_k2-Austria FKA 05 DF update 2009-03_20100621_Appl Planning_CC-B" xfId="924" xr:uid="{00000000-0005-0000-0000-000090030000}"/>
    <cellStyle name="_TableHead_k2-Austria FKA 05 DF update 2009-03_20100716_Appl Planning_CC-B" xfId="925" xr:uid="{00000000-0005-0000-0000-000091030000}"/>
    <cellStyle name="_TableHead_k2-Austria FKA 05 DF update 2009-03_20100916_Appl Planning_CC-B" xfId="926" xr:uid="{00000000-0005-0000-0000-000092030000}"/>
    <cellStyle name="_TableHead_new 5 07 DE" xfId="927" xr:uid="{00000000-0005-0000-0000-000093030000}"/>
    <cellStyle name="_TableHead_new 5 07 DE_20100209_Appl Planning_CC-B" xfId="928" xr:uid="{00000000-0005-0000-0000-000094030000}"/>
    <cellStyle name="_TableHead_new 5 07 DE_20100324_Appl Planning_CC-B" xfId="929" xr:uid="{00000000-0005-0000-0000-000095030000}"/>
    <cellStyle name="_TableHead_new 5 07 DE_20100520_Appl Planning_CC-B" xfId="930" xr:uid="{00000000-0005-0000-0000-000096030000}"/>
    <cellStyle name="_TableHead_new 5 07 DE_20100610_Appl Planning_CC-B" xfId="931" xr:uid="{00000000-0005-0000-0000-000097030000}"/>
    <cellStyle name="_TableHead_new 5 07 DE_20100621_Appl Planning_CC-B" xfId="932" xr:uid="{00000000-0005-0000-0000-000098030000}"/>
    <cellStyle name="_TableHead_new 5 07 DE_20100716_Appl Planning_CC-B" xfId="933" xr:uid="{00000000-0005-0000-0000-000099030000}"/>
    <cellStyle name="_TableHead_new 5 07 DE_20100916_Appl Planning_CC-B" xfId="934" xr:uid="{00000000-0005-0000-0000-00009A030000}"/>
    <cellStyle name="_TableHead_overplafond" xfId="935" xr:uid="{00000000-0005-0000-0000-00009B030000}"/>
    <cellStyle name="_TableHead_overplafond_20100209_Appl Planning_CC-B" xfId="936" xr:uid="{00000000-0005-0000-0000-00009C030000}"/>
    <cellStyle name="_TableHead_overplafond_20100324_Appl Planning_CC-B" xfId="937" xr:uid="{00000000-0005-0000-0000-00009D030000}"/>
    <cellStyle name="_TableHead_overplafond_20100520_Appl Planning_CC-B" xfId="938" xr:uid="{00000000-0005-0000-0000-00009E030000}"/>
    <cellStyle name="_TableHead_overplafond_20100610_Appl Planning_CC-B" xfId="939" xr:uid="{00000000-0005-0000-0000-00009F030000}"/>
    <cellStyle name="_TableHead_overplafond_20100621_Appl Planning_CC-B" xfId="940" xr:uid="{00000000-0005-0000-0000-0000A0030000}"/>
    <cellStyle name="_TableHead_overplafond_20100716_Appl Planning_CC-B" xfId="941" xr:uid="{00000000-0005-0000-0000-0000A1030000}"/>
    <cellStyle name="_TableHead_overplafond_20100916_Appl Planning_CC-B" xfId="942" xr:uid="{00000000-0005-0000-0000-0000A2030000}"/>
    <cellStyle name="_TableHead_préparatifs 5-07" xfId="943" xr:uid="{00000000-0005-0000-0000-0000A3030000}"/>
    <cellStyle name="_TableHead_préparatifs 5-07_20100209_Appl Planning_CC-B" xfId="944" xr:uid="{00000000-0005-0000-0000-0000A4030000}"/>
    <cellStyle name="_TableHead_préparatifs 5-07_20100324_Appl Planning_CC-B" xfId="945" xr:uid="{00000000-0005-0000-0000-0000A5030000}"/>
    <cellStyle name="_TableHead_préparatifs 5-07_20100520_Appl Planning_CC-B" xfId="946" xr:uid="{00000000-0005-0000-0000-0000A6030000}"/>
    <cellStyle name="_TableHead_préparatifs 5-07_20100610_Appl Planning_CC-B" xfId="947" xr:uid="{00000000-0005-0000-0000-0000A7030000}"/>
    <cellStyle name="_TableHead_préparatifs 5-07_20100621_Appl Planning_CC-B" xfId="948" xr:uid="{00000000-0005-0000-0000-0000A8030000}"/>
    <cellStyle name="_TableHead_préparatifs 5-07_20100716_Appl Planning_CC-B" xfId="949" xr:uid="{00000000-0005-0000-0000-0000A9030000}"/>
    <cellStyle name="_TableHead_préparatifs 5-07_20100916_Appl Planning_CC-B" xfId="950" xr:uid="{00000000-0005-0000-0000-0000AA030000}"/>
    <cellStyle name="_TableHead_Sheet 5.05b" xfId="951" xr:uid="{00000000-0005-0000-0000-0000AB030000}"/>
    <cellStyle name="_TableHead_Sheet 5.05b_5.07" xfId="952" xr:uid="{00000000-0005-0000-0000-0000AC030000}"/>
    <cellStyle name="_TableHead_Sheet 5.05b_5.07 janvier" xfId="953" xr:uid="{00000000-0005-0000-0000-0000AD030000}"/>
    <cellStyle name="_TableHead_Sheet 5.05b_base 5 07 per k2 dei dati di gennaio 2009" xfId="954" xr:uid="{00000000-0005-0000-0000-0000AE030000}"/>
    <cellStyle name="_TableHead_Sheet 5.05b_Copie de Fichier K2 30_11_08" xfId="955" xr:uid="{00000000-0005-0000-0000-0000AF030000}"/>
    <cellStyle name="_TableHead_Sheet 5.05b_Copie de FORMAT K2 31 01 09" xfId="956" xr:uid="{00000000-0005-0000-0000-0000B0030000}"/>
    <cellStyle name="_TableHead_Sheet 5.05b_Critical still operating 090531" xfId="957" xr:uid="{00000000-0005-0000-0000-0000B1030000}"/>
    <cellStyle name="_TableHead_Sheet 5.05b_FGA ENCOURS ET FACTURES 2 06 2009" xfId="958" xr:uid="{00000000-0005-0000-0000-0000B2030000}"/>
    <cellStyle name="_TableHead_Sheet 5.05b_Fichier K2 28_02_09" xfId="959" xr:uid="{00000000-0005-0000-0000-0000B3030000}"/>
    <cellStyle name="_TableHead_Sheet 5.05b_Fichier K2 30_04_09" xfId="960" xr:uid="{00000000-0005-0000-0000-0000B4030000}"/>
    <cellStyle name="_TableHead_Sheet 5.05b_Fichier K2 31_01_09" xfId="961" xr:uid="{00000000-0005-0000-0000-0000B5030000}"/>
    <cellStyle name="_TableHead_Sheet 5.05b_Fichier K2 31_03_09" xfId="962" xr:uid="{00000000-0005-0000-0000-0000B6030000}"/>
    <cellStyle name="_TableHead_Sheet 5.05b_Fichier K2 31_05_09" xfId="963" xr:uid="{00000000-0005-0000-0000-0000B7030000}"/>
    <cellStyle name="_TableHead_Sheet 5.05b_Fichier K2 31_12_08" xfId="964" xr:uid="{00000000-0005-0000-0000-0000B8030000}"/>
    <cellStyle name="_TableHead_Sheet 5.05b_FORMAT K2 30 11 08" xfId="965" xr:uid="{00000000-0005-0000-0000-0000B9030000}"/>
    <cellStyle name="_TableHead_Sheet 5.05b_FORMAT K2 30 11 08 (12)" xfId="966" xr:uid="{00000000-0005-0000-0000-0000BA030000}"/>
    <cellStyle name="_TableHead_Sheet 5.05b_FORMAT K2 30 11 08 (13)" xfId="967" xr:uid="{00000000-0005-0000-0000-0000BB030000}"/>
    <cellStyle name="_TableHead_Sheet 5.05b_FORMAT K2 30 11 08 (14)" xfId="968" xr:uid="{00000000-0005-0000-0000-0000BC030000}"/>
    <cellStyle name="_TableHead_Sheet 5.05b_FORMAT K2 30 11 08 (15)" xfId="969" xr:uid="{00000000-0005-0000-0000-0000BD030000}"/>
    <cellStyle name="_TableHead_Sheet 5.05b_FORMAT K2 30 11 08 (16)" xfId="970" xr:uid="{00000000-0005-0000-0000-0000BE030000}"/>
    <cellStyle name="_TableHead_Sheet 5.05b_FORMAT K2 30 11 08 (17)" xfId="971" xr:uid="{00000000-0005-0000-0000-0000BF030000}"/>
    <cellStyle name="_TableHead_Sheet 5.05b_FORMAT K2 30 11 08 (18)" xfId="972" xr:uid="{00000000-0005-0000-0000-0000C0030000}"/>
    <cellStyle name="_TableHead_Sheet 5.05b_FORMAT K2 30 11 08 (19)" xfId="973" xr:uid="{00000000-0005-0000-0000-0000C1030000}"/>
    <cellStyle name="_TableHead_Sheet 5.05b_FORMAT K2 30 11 08 (20)" xfId="974" xr:uid="{00000000-0005-0000-0000-0000C2030000}"/>
    <cellStyle name="_TableHead_Sheet 5.05b_FORMAT K2 31 01 09" xfId="975" xr:uid="{00000000-0005-0000-0000-0000C3030000}"/>
    <cellStyle name="_TableHead_Sheet 5.05b_FORMAT K2 31 01 09 (14)" xfId="976" xr:uid="{00000000-0005-0000-0000-0000C4030000}"/>
    <cellStyle name="_TableHead_Sheet 5.05b_FORMAT K2 31 01 09 (22)" xfId="977" xr:uid="{00000000-0005-0000-0000-0000C5030000}"/>
    <cellStyle name="_TableHead_Sheet 5.05b_FORMAT K2 31 03 09 UK" xfId="978" xr:uid="{00000000-0005-0000-0000-0000C6030000}"/>
    <cellStyle name="_TableHead_Sheet 5.05b_FORMAT K2 31 05 09 FRANCE" xfId="979" xr:uid="{00000000-0005-0000-0000-0000C7030000}"/>
    <cellStyle name="_TableHead_Sheet 5.05b_FORMAT K2 31 12 08" xfId="980" xr:uid="{00000000-0005-0000-0000-0000C8030000}"/>
    <cellStyle name="_TableHead_Sheet 5.05b_FORMAT K2 31 12 08 (2)" xfId="981" xr:uid="{00000000-0005-0000-0000-0000C9030000}"/>
    <cellStyle name="_TableHead_Sheet 5.05b_FORMAT K2 31 12 08 (3)" xfId="982" xr:uid="{00000000-0005-0000-0000-0000CA030000}"/>
    <cellStyle name="_TableHead_Sheet 5.05b_FORMAT K2 31 12 08 (4)" xfId="983" xr:uid="{00000000-0005-0000-0000-0000CB030000}"/>
    <cellStyle name="_TableHead_Sheet 5.05b_FORMAT K2 31 12 08 (5)" xfId="984" xr:uid="{00000000-0005-0000-0000-0000CC030000}"/>
    <cellStyle name="_TableHead_Sheet 5.05b_FORMAT K2 31 12 08 (6)" xfId="985" xr:uid="{00000000-0005-0000-0000-0000CD030000}"/>
    <cellStyle name="_TableHead_Sheet 5.05b_FORMAT K2 31 12 08 (7)" xfId="986" xr:uid="{00000000-0005-0000-0000-0000CE030000}"/>
    <cellStyle name="_TableHead_Sheet 5.05b_FORMAT K2 31 12 08 (8)" xfId="987" xr:uid="{00000000-0005-0000-0000-0000CF030000}"/>
    <cellStyle name="_TableHead_Sheet 5.05b_FORMAT K2 ENERO (6)" xfId="988" xr:uid="{00000000-0005-0000-0000-0000D0030000}"/>
    <cellStyle name="_TableHead_Sheet 5.05b_K2 April 2009" xfId="989" xr:uid="{00000000-0005-0000-0000-0000D1030000}"/>
    <cellStyle name="_TableHead_Sheet 5.05b_K2 av 2009 - version MCLT" xfId="990" xr:uid="{00000000-0005-0000-0000-0000D2030000}"/>
    <cellStyle name="_TableHead_Sheet 5.05b_K2 December 2008" xfId="991" xr:uid="{00000000-0005-0000-0000-0000D3030000}"/>
    <cellStyle name="_TableHead_Sheet 5.05b_K2 February 2009" xfId="992" xr:uid="{00000000-0005-0000-0000-0000D4030000}"/>
    <cellStyle name="_TableHead_Sheet 5.05b_K2 January 2009 (3)" xfId="993" xr:uid="{00000000-0005-0000-0000-0000D5030000}"/>
    <cellStyle name="_TableHead_Sheet 5.05b_K2 mai 2009 - version MCLT" xfId="994" xr:uid="{00000000-0005-0000-0000-0000D6030000}"/>
    <cellStyle name="_TableHead_Sheet 5.05b_K2 Mars 2009" xfId="995" xr:uid="{00000000-0005-0000-0000-0000D7030000}"/>
    <cellStyle name="_TableHead_Sheet 5.05b_K2 November 2008 Francia" xfId="996" xr:uid="{00000000-0005-0000-0000-0000D8030000}"/>
    <cellStyle name="_TableHead_Sheet 5.05b_preparatifs 5.07" xfId="997" xr:uid="{00000000-0005-0000-0000-0000D9030000}"/>
    <cellStyle name="_TableHead_Sheet 5.05b_preparatifs 5.22-23" xfId="998" xr:uid="{00000000-0005-0000-0000-0000DA030000}"/>
    <cellStyle name="_TableHead_Sheet 5.05b_préparatifs 5-07" xfId="999" xr:uid="{00000000-0005-0000-0000-0000DB030000}"/>
    <cellStyle name="_TableRowHead" xfId="1000" xr:uid="{00000000-0005-0000-0000-0000DC030000}"/>
    <cellStyle name="_TableRowHead_20081202 - Austria" xfId="1001" xr:uid="{00000000-0005-0000-0000-0000DD030000}"/>
    <cellStyle name="_TableRowHead_20081202 - Austria_20100209_Appl Planning_CC-B" xfId="1002" xr:uid="{00000000-0005-0000-0000-0000DE030000}"/>
    <cellStyle name="_TableRowHead_20081202 - Austria_20100324_Appl Planning_CC-B" xfId="1003" xr:uid="{00000000-0005-0000-0000-0000DF030000}"/>
    <cellStyle name="_TableRowHead_20081202 - Austria_20100520_Appl Planning_CC-B" xfId="1004" xr:uid="{00000000-0005-0000-0000-0000E0030000}"/>
    <cellStyle name="_TableRowHead_20081202 - Austria_20100610_Appl Planning_CC-B" xfId="1005" xr:uid="{00000000-0005-0000-0000-0000E1030000}"/>
    <cellStyle name="_TableRowHead_20081202 - Austria_20100621_Appl Planning_CC-B" xfId="1006" xr:uid="{00000000-0005-0000-0000-0000E2030000}"/>
    <cellStyle name="_TableRowHead_20081202 - Austria_20100716_Appl Planning_CC-B" xfId="1007" xr:uid="{00000000-0005-0000-0000-0000E3030000}"/>
    <cellStyle name="_TableRowHead_20081202 - Austria_20100916_Appl Planning_CC-B" xfId="1008" xr:uid="{00000000-0005-0000-0000-0000E4030000}"/>
    <cellStyle name="_TableRowHead_20081202 - Denmark" xfId="1009" xr:uid="{00000000-0005-0000-0000-0000E5030000}"/>
    <cellStyle name="_TableRowHead_20081202 - Denmark_20100209_Appl Planning_CC-B" xfId="1010" xr:uid="{00000000-0005-0000-0000-0000E6030000}"/>
    <cellStyle name="_TableRowHead_20081202 - Denmark_20100324_Appl Planning_CC-B" xfId="1011" xr:uid="{00000000-0005-0000-0000-0000E7030000}"/>
    <cellStyle name="_TableRowHead_20081202 - Denmark_20100520_Appl Planning_CC-B" xfId="1012" xr:uid="{00000000-0005-0000-0000-0000E8030000}"/>
    <cellStyle name="_TableRowHead_20081202 - Denmark_20100610_Appl Planning_CC-B" xfId="1013" xr:uid="{00000000-0005-0000-0000-0000E9030000}"/>
    <cellStyle name="_TableRowHead_20081202 - Denmark_20100621_Appl Planning_CC-B" xfId="1014" xr:uid="{00000000-0005-0000-0000-0000EA030000}"/>
    <cellStyle name="_TableRowHead_20081202 - Denmark_20100716_Appl Planning_CC-B" xfId="1015" xr:uid="{00000000-0005-0000-0000-0000EB030000}"/>
    <cellStyle name="_TableRowHead_20081202 - Denmark_20100916_Appl Planning_CC-B" xfId="1016" xr:uid="{00000000-0005-0000-0000-0000EC030000}"/>
    <cellStyle name="_TableRowHead_20081202 - Poland" xfId="1017" xr:uid="{00000000-0005-0000-0000-0000ED030000}"/>
    <cellStyle name="_TableRowHead_20081202 - Poland_20100209_Appl Planning_CC-B" xfId="1018" xr:uid="{00000000-0005-0000-0000-0000EE030000}"/>
    <cellStyle name="_TableRowHead_20081202 - Poland_20100324_Appl Planning_CC-B" xfId="1019" xr:uid="{00000000-0005-0000-0000-0000EF030000}"/>
    <cellStyle name="_TableRowHead_20081202 - Poland_20100520_Appl Planning_CC-B" xfId="1020" xr:uid="{00000000-0005-0000-0000-0000F0030000}"/>
    <cellStyle name="_TableRowHead_20081202 - Poland_20100610_Appl Planning_CC-B" xfId="1021" xr:uid="{00000000-0005-0000-0000-0000F1030000}"/>
    <cellStyle name="_TableRowHead_20081202 - Poland_20100621_Appl Planning_CC-B" xfId="1022" xr:uid="{00000000-0005-0000-0000-0000F2030000}"/>
    <cellStyle name="_TableRowHead_20081202 - Poland_20100716_Appl Planning_CC-B" xfId="1023" xr:uid="{00000000-0005-0000-0000-0000F3030000}"/>
    <cellStyle name="_TableRowHead_20081202 - Poland_20100916_Appl Planning_CC-B" xfId="1024" xr:uid="{00000000-0005-0000-0000-0000F4030000}"/>
    <cellStyle name="_TableRowHead_5 07 inviato per novembre al mercato" xfId="1025" xr:uid="{00000000-0005-0000-0000-0000F5030000}"/>
    <cellStyle name="_TableRowHead_5 07 inviato per novembre al mercato_20100209_Appl Planning_CC-B" xfId="1026" xr:uid="{00000000-0005-0000-0000-0000F6030000}"/>
    <cellStyle name="_TableRowHead_5 07 inviato per novembre al mercato_20100324_Appl Planning_CC-B" xfId="1027" xr:uid="{00000000-0005-0000-0000-0000F7030000}"/>
    <cellStyle name="_TableRowHead_5 07 inviato per novembre al mercato_20100520_Appl Planning_CC-B" xfId="1028" xr:uid="{00000000-0005-0000-0000-0000F8030000}"/>
    <cellStyle name="_TableRowHead_5 07 inviato per novembre al mercato_20100610_Appl Planning_CC-B" xfId="1029" xr:uid="{00000000-0005-0000-0000-0000F9030000}"/>
    <cellStyle name="_TableRowHead_5 07 inviato per novembre al mercato_20100621_Appl Planning_CC-B" xfId="1030" xr:uid="{00000000-0005-0000-0000-0000FA030000}"/>
    <cellStyle name="_TableRowHead_5 07 inviato per novembre al mercato_20100716_Appl Planning_CC-B" xfId="1031" xr:uid="{00000000-0005-0000-0000-0000FB030000}"/>
    <cellStyle name="_TableRowHead_5 07 inviato per novembre al mercato_20100916_Appl Planning_CC-B" xfId="1032" xr:uid="{00000000-0005-0000-0000-0000FC030000}"/>
    <cellStyle name="_TableRowHead_5 07 k2 con dati di novembre" xfId="1033" xr:uid="{00000000-0005-0000-0000-0000FD030000}"/>
    <cellStyle name="_TableRowHead_5 07 k2 con dati di novembre_20100209_Appl Planning_CC-B" xfId="1034" xr:uid="{00000000-0005-0000-0000-0000FE030000}"/>
    <cellStyle name="_TableRowHead_5 07 k2 con dati di novembre_20100324_Appl Planning_CC-B" xfId="1035" xr:uid="{00000000-0005-0000-0000-0000FF030000}"/>
    <cellStyle name="_TableRowHead_5 07 k2 con dati di novembre_20100520_Appl Planning_CC-B" xfId="1036" xr:uid="{00000000-0005-0000-0000-000000040000}"/>
    <cellStyle name="_TableRowHead_5 07 k2 con dati di novembre_20100610_Appl Planning_CC-B" xfId="1037" xr:uid="{00000000-0005-0000-0000-000001040000}"/>
    <cellStyle name="_TableRowHead_5 07 k2 con dati di novembre_20100621_Appl Planning_CC-B" xfId="1038" xr:uid="{00000000-0005-0000-0000-000002040000}"/>
    <cellStyle name="_TableRowHead_5 07 k2 con dati di novembre_20100716_Appl Planning_CC-B" xfId="1039" xr:uid="{00000000-0005-0000-0000-000003040000}"/>
    <cellStyle name="_TableRowHead_5 07 k2 con dati di novembre_20100916_Appl Planning_CC-B" xfId="1040" xr:uid="{00000000-0005-0000-0000-000004040000}"/>
    <cellStyle name="_TableRowHead_Cartel1 (7)" xfId="1041" xr:uid="{00000000-0005-0000-0000-000005040000}"/>
    <cellStyle name="_TableRowHead_Cartel1 (7)_20100209_Appl Planning_CC-B" xfId="1042" xr:uid="{00000000-0005-0000-0000-000006040000}"/>
    <cellStyle name="_TableRowHead_Cartel1 (7)_20100324_Appl Planning_CC-B" xfId="1043" xr:uid="{00000000-0005-0000-0000-000007040000}"/>
    <cellStyle name="_TableRowHead_Cartel1 (7)_20100520_Appl Planning_CC-B" xfId="1044" xr:uid="{00000000-0005-0000-0000-000008040000}"/>
    <cellStyle name="_TableRowHead_Cartel1 (7)_20100610_Appl Planning_CC-B" xfId="1045" xr:uid="{00000000-0005-0000-0000-000009040000}"/>
    <cellStyle name="_TableRowHead_Cartel1 (7)_20100621_Appl Planning_CC-B" xfId="1046" xr:uid="{00000000-0005-0000-0000-00000A040000}"/>
    <cellStyle name="_TableRowHead_Cartel1 (7)_20100716_Appl Planning_CC-B" xfId="1047" xr:uid="{00000000-0005-0000-0000-00000B040000}"/>
    <cellStyle name="_TableRowHead_Cartel1 (7)_20100916_Appl Planning_CC-B" xfId="1048" xr:uid="{00000000-0005-0000-0000-00000C040000}"/>
    <cellStyle name="_TableRowHead_Copie de K2 févrierr2009 - version MCLT" xfId="1049" xr:uid="{00000000-0005-0000-0000-00000D040000}"/>
    <cellStyle name="_TableRowHead_Copie de K2 févrierr2009 - version MCLT_20100209_Appl Planning_CC-B" xfId="1050" xr:uid="{00000000-0005-0000-0000-00000E040000}"/>
    <cellStyle name="_TableRowHead_Copie de K2 févrierr2009 - version MCLT_20100324_Appl Planning_CC-B" xfId="1051" xr:uid="{00000000-0005-0000-0000-00000F040000}"/>
    <cellStyle name="_TableRowHead_Copie de K2 févrierr2009 - version MCLT_20100520_Appl Planning_CC-B" xfId="1052" xr:uid="{00000000-0005-0000-0000-000010040000}"/>
    <cellStyle name="_TableRowHead_Copie de K2 févrierr2009 - version MCLT_20100610_Appl Planning_CC-B" xfId="1053" xr:uid="{00000000-0005-0000-0000-000011040000}"/>
    <cellStyle name="_TableRowHead_Copie de K2 févrierr2009 - version MCLT_20100621_Appl Planning_CC-B" xfId="1054" xr:uid="{00000000-0005-0000-0000-000012040000}"/>
    <cellStyle name="_TableRowHead_Copie de K2 févrierr2009 - version MCLT_20100716_Appl Planning_CC-B" xfId="1055" xr:uid="{00000000-0005-0000-0000-000013040000}"/>
    <cellStyle name="_TableRowHead_Copie de K2 févrierr2009 - version MCLT_20100916_Appl Planning_CC-B" xfId="1056" xr:uid="{00000000-0005-0000-0000-000014040000}"/>
    <cellStyle name="_TableRowHead_Copie de K2 mars 2009 - version MCLT" xfId="1057" xr:uid="{00000000-0005-0000-0000-000015040000}"/>
    <cellStyle name="_TableRowHead_Copie de K2 mars 2009 - version MCLT_20100209_Appl Planning_CC-B" xfId="1058" xr:uid="{00000000-0005-0000-0000-000016040000}"/>
    <cellStyle name="_TableRowHead_Copie de K2 mars 2009 - version MCLT_20100324_Appl Planning_CC-B" xfId="1059" xr:uid="{00000000-0005-0000-0000-000017040000}"/>
    <cellStyle name="_TableRowHead_Copie de K2 mars 2009 - version MCLT_20100520_Appl Planning_CC-B" xfId="1060" xr:uid="{00000000-0005-0000-0000-000018040000}"/>
    <cellStyle name="_TableRowHead_Copie de K2 mars 2009 - version MCLT_20100610_Appl Planning_CC-B" xfId="1061" xr:uid="{00000000-0005-0000-0000-000019040000}"/>
    <cellStyle name="_TableRowHead_Copie de K2 mars 2009 - version MCLT_20100621_Appl Planning_CC-B" xfId="1062" xr:uid="{00000000-0005-0000-0000-00001A040000}"/>
    <cellStyle name="_TableRowHead_Copie de K2 mars 2009 - version MCLT_20100716_Appl Planning_CC-B" xfId="1063" xr:uid="{00000000-0005-0000-0000-00001B040000}"/>
    <cellStyle name="_TableRowHead_Copie de K2 mars 2009 - version MCLT_20100916_Appl Planning_CC-B" xfId="1064" xr:uid="{00000000-0005-0000-0000-00001C040000}"/>
    <cellStyle name="_TableRowHead_Copie de K2 novembre 2008 - version MCLT" xfId="1065" xr:uid="{00000000-0005-0000-0000-00001D040000}"/>
    <cellStyle name="_TableRowHead_Copie de K2 novembre 2008 - version MCLT_20100209_Appl Planning_CC-B" xfId="1066" xr:uid="{00000000-0005-0000-0000-00001E040000}"/>
    <cellStyle name="_TableRowHead_Copie de K2 novembre 2008 - version MCLT_20100324_Appl Planning_CC-B" xfId="1067" xr:uid="{00000000-0005-0000-0000-00001F040000}"/>
    <cellStyle name="_TableRowHead_Copie de K2 novembre 2008 - version MCLT_20100520_Appl Planning_CC-B" xfId="1068" xr:uid="{00000000-0005-0000-0000-000020040000}"/>
    <cellStyle name="_TableRowHead_Copie de K2 novembre 2008 - version MCLT_20100610_Appl Planning_CC-B" xfId="1069" xr:uid="{00000000-0005-0000-0000-000021040000}"/>
    <cellStyle name="_TableRowHead_Copie de K2 novembre 2008 - version MCLT_20100621_Appl Planning_CC-B" xfId="1070" xr:uid="{00000000-0005-0000-0000-000022040000}"/>
    <cellStyle name="_TableRowHead_Copie de K2 novembre 2008 - version MCLT_20100716_Appl Planning_CC-B" xfId="1071" xr:uid="{00000000-0005-0000-0000-000023040000}"/>
    <cellStyle name="_TableRowHead_Copie de K2 novembre 2008 - version MCLT_20100916_Appl Planning_CC-B" xfId="1072" xr:uid="{00000000-0005-0000-0000-000024040000}"/>
    <cellStyle name="_TableRowHead_CRITICAL STILL OPERATING" xfId="1073" xr:uid="{00000000-0005-0000-0000-000025040000}"/>
    <cellStyle name="_TableRowHead_CRITICAL STILL OPERATING_20100209_Appl Planning_CC-B" xfId="1074" xr:uid="{00000000-0005-0000-0000-000026040000}"/>
    <cellStyle name="_TableRowHead_CRITICAL STILL OPERATING_20100324_Appl Planning_CC-B" xfId="1075" xr:uid="{00000000-0005-0000-0000-000027040000}"/>
    <cellStyle name="_TableRowHead_CRITICAL STILL OPERATING_20100520_Appl Planning_CC-B" xfId="1076" xr:uid="{00000000-0005-0000-0000-000028040000}"/>
    <cellStyle name="_TableRowHead_CRITICAL STILL OPERATING_20100610_Appl Planning_CC-B" xfId="1077" xr:uid="{00000000-0005-0000-0000-000029040000}"/>
    <cellStyle name="_TableRowHead_CRITICAL STILL OPERATING_20100621_Appl Planning_CC-B" xfId="1078" xr:uid="{00000000-0005-0000-0000-00002A040000}"/>
    <cellStyle name="_TableRowHead_CRITICAL STILL OPERATING_20100716_Appl Planning_CC-B" xfId="1079" xr:uid="{00000000-0005-0000-0000-00002B040000}"/>
    <cellStyle name="_TableRowHead_CRITICAL STILL OPERATING_20100916_Appl Planning_CC-B" xfId="1080" xr:uid="{00000000-0005-0000-0000-00002C040000}"/>
    <cellStyle name="_TableRowHead_Feuil1" xfId="1081" xr:uid="{00000000-0005-0000-0000-00002D040000}"/>
    <cellStyle name="_TableRowHead_FORMAT K2 NOVEMBER 2008" xfId="1082" xr:uid="{00000000-0005-0000-0000-00002E040000}"/>
    <cellStyle name="_TableRowHead_FORMAT K2 NOVEMBER 2008 (2)" xfId="1083" xr:uid="{00000000-0005-0000-0000-00002F040000}"/>
    <cellStyle name="_TableRowHead_FORMAT K2 NOVEMBER 2008 (2)_20100209_Appl Planning_CC-B" xfId="1084" xr:uid="{00000000-0005-0000-0000-000030040000}"/>
    <cellStyle name="_TableRowHead_FORMAT K2 NOVEMBER 2008 (2)_20100324_Appl Planning_CC-B" xfId="1085" xr:uid="{00000000-0005-0000-0000-000031040000}"/>
    <cellStyle name="_TableRowHead_FORMAT K2 NOVEMBER 2008 (2)_20100520_Appl Planning_CC-B" xfId="1086" xr:uid="{00000000-0005-0000-0000-000032040000}"/>
    <cellStyle name="_TableRowHead_FORMAT K2 NOVEMBER 2008 (2)_20100610_Appl Planning_CC-B" xfId="1087" xr:uid="{00000000-0005-0000-0000-000033040000}"/>
    <cellStyle name="_TableRowHead_FORMAT K2 NOVEMBER 2008 (2)_20100621_Appl Planning_CC-B" xfId="1088" xr:uid="{00000000-0005-0000-0000-000034040000}"/>
    <cellStyle name="_TableRowHead_FORMAT K2 NOVEMBER 2008 (2)_20100716_Appl Planning_CC-B" xfId="1089" xr:uid="{00000000-0005-0000-0000-000035040000}"/>
    <cellStyle name="_TableRowHead_FORMAT K2 NOVEMBER 2008 (2)_20100916_Appl Planning_CC-B" xfId="1090" xr:uid="{00000000-0005-0000-0000-000036040000}"/>
    <cellStyle name="_TableRowHead_FORMAT K2 NOVEMBER 2008 (3)" xfId="1091" xr:uid="{00000000-0005-0000-0000-000037040000}"/>
    <cellStyle name="_TableRowHead_FORMAT K2 NOVEMBER 2008 (3)_20100209_Appl Planning_CC-B" xfId="1092" xr:uid="{00000000-0005-0000-0000-000038040000}"/>
    <cellStyle name="_TableRowHead_FORMAT K2 NOVEMBER 2008 (3)_20100324_Appl Planning_CC-B" xfId="1093" xr:uid="{00000000-0005-0000-0000-000039040000}"/>
    <cellStyle name="_TableRowHead_FORMAT K2 NOVEMBER 2008 (3)_20100520_Appl Planning_CC-B" xfId="1094" xr:uid="{00000000-0005-0000-0000-00003A040000}"/>
    <cellStyle name="_TableRowHead_FORMAT K2 NOVEMBER 2008 (3)_20100610_Appl Planning_CC-B" xfId="1095" xr:uid="{00000000-0005-0000-0000-00003B040000}"/>
    <cellStyle name="_TableRowHead_FORMAT K2 NOVEMBER 2008 (3)_20100621_Appl Planning_CC-B" xfId="1096" xr:uid="{00000000-0005-0000-0000-00003C040000}"/>
    <cellStyle name="_TableRowHead_FORMAT K2 NOVEMBER 2008 (3)_20100716_Appl Planning_CC-B" xfId="1097" xr:uid="{00000000-0005-0000-0000-00003D040000}"/>
    <cellStyle name="_TableRowHead_FORMAT K2 NOVEMBER 2008 (3)_20100916_Appl Planning_CC-B" xfId="1098" xr:uid="{00000000-0005-0000-0000-00003E040000}"/>
    <cellStyle name="_TableRowHead_FORMAT K2 NOVEMBER 2008 SVIZZERA" xfId="1099" xr:uid="{00000000-0005-0000-0000-00003F040000}"/>
    <cellStyle name="_TableRowHead_FORMAT K2 NOVEMBER 2008 SVIZZERA_20100209_Appl Planning_CC-B" xfId="1100" xr:uid="{00000000-0005-0000-0000-000040040000}"/>
    <cellStyle name="_TableRowHead_FORMAT K2 NOVEMBER 2008 SVIZZERA_20100324_Appl Planning_CC-B" xfId="1101" xr:uid="{00000000-0005-0000-0000-000041040000}"/>
    <cellStyle name="_TableRowHead_FORMAT K2 NOVEMBER 2008 SVIZZERA_20100520_Appl Planning_CC-B" xfId="1102" xr:uid="{00000000-0005-0000-0000-000042040000}"/>
    <cellStyle name="_TableRowHead_FORMAT K2 NOVEMBER 2008 SVIZZERA_20100610_Appl Planning_CC-B" xfId="1103" xr:uid="{00000000-0005-0000-0000-000043040000}"/>
    <cellStyle name="_TableRowHead_FORMAT K2 NOVEMBER 2008 SVIZZERA_20100621_Appl Planning_CC-B" xfId="1104" xr:uid="{00000000-0005-0000-0000-000044040000}"/>
    <cellStyle name="_TableRowHead_FORMAT K2 NOVEMBER 2008 SVIZZERA_20100716_Appl Planning_CC-B" xfId="1105" xr:uid="{00000000-0005-0000-0000-000045040000}"/>
    <cellStyle name="_TableRowHead_FORMAT K2 NOVEMBER 2008 SVIZZERA_20100916_Appl Planning_CC-B" xfId="1106" xr:uid="{00000000-0005-0000-0000-000046040000}"/>
    <cellStyle name="_TableRowHead_FORMAT K2 NOVEMBER 2008_20100209_Appl Planning_CC-B" xfId="1107" xr:uid="{00000000-0005-0000-0000-000047040000}"/>
    <cellStyle name="_TableRowHead_FORMAT K2 NOVEMBER 2008_20100324_Appl Planning_CC-B" xfId="1108" xr:uid="{00000000-0005-0000-0000-000048040000}"/>
    <cellStyle name="_TableRowHead_FORMAT K2 NOVEMBER 2008_20100520_Appl Planning_CC-B" xfId="1109" xr:uid="{00000000-0005-0000-0000-000049040000}"/>
    <cellStyle name="_TableRowHead_FORMAT K2 NOVEMBER 2008_20100610_Appl Planning_CC-B" xfId="1110" xr:uid="{00000000-0005-0000-0000-00004A040000}"/>
    <cellStyle name="_TableRowHead_FORMAT K2 NOVEMBER 2008_20100621_Appl Planning_CC-B" xfId="1111" xr:uid="{00000000-0005-0000-0000-00004B040000}"/>
    <cellStyle name="_TableRowHead_FORMAT K2 NOVEMBER 2008_20100716_Appl Planning_CC-B" xfId="1112" xr:uid="{00000000-0005-0000-0000-00004C040000}"/>
    <cellStyle name="_TableRowHead_FORMAT K2 NOVEMBER 2008_20100916_Appl Planning_CC-B" xfId="1113" xr:uid="{00000000-0005-0000-0000-00004D040000}"/>
    <cellStyle name="_TableRowHead_FORMAT K2 OCTOBER 2008 BELGIO (2)" xfId="1114" xr:uid="{00000000-0005-0000-0000-00004E040000}"/>
    <cellStyle name="_TableRowHead_FORMAT K2 OCTOBER 2008 BELGIO (2)_20100209_Appl Planning_CC-B" xfId="1115" xr:uid="{00000000-0005-0000-0000-00004F040000}"/>
    <cellStyle name="_TableRowHead_FORMAT K2 OCTOBER 2008 BELGIO (2)_20100324_Appl Planning_CC-B" xfId="1116" xr:uid="{00000000-0005-0000-0000-000050040000}"/>
    <cellStyle name="_TableRowHead_FORMAT K2 OCTOBER 2008 BELGIO (2)_20100520_Appl Planning_CC-B" xfId="1117" xr:uid="{00000000-0005-0000-0000-000051040000}"/>
    <cellStyle name="_TableRowHead_FORMAT K2 OCTOBER 2008 BELGIO (2)_20100610_Appl Planning_CC-B" xfId="1118" xr:uid="{00000000-0005-0000-0000-000052040000}"/>
    <cellStyle name="_TableRowHead_FORMAT K2 OCTOBER 2008 BELGIO (2)_20100621_Appl Planning_CC-B" xfId="1119" xr:uid="{00000000-0005-0000-0000-000053040000}"/>
    <cellStyle name="_TableRowHead_FORMAT K2 OCTOBER 2008 BELGIO (2)_20100716_Appl Planning_CC-B" xfId="1120" xr:uid="{00000000-0005-0000-0000-000054040000}"/>
    <cellStyle name="_TableRowHead_FORMAT K2 OCTOBER 2008 BELGIO (2)_20100916_Appl Planning_CC-B" xfId="1121" xr:uid="{00000000-0005-0000-0000-000055040000}"/>
    <cellStyle name="_TableRowHead_FORMAT K2 OCTOBER 2008 SPAGNA (2)" xfId="1122" xr:uid="{00000000-0005-0000-0000-000056040000}"/>
    <cellStyle name="_TableRowHead_FORMAT K2 OCTOBER 2008 SPAGNA (2)_20100209_Appl Planning_CC-B" xfId="1123" xr:uid="{00000000-0005-0000-0000-000057040000}"/>
    <cellStyle name="_TableRowHead_FORMAT K2 OCTOBER 2008 SPAGNA (2)_20100324_Appl Planning_CC-B" xfId="1124" xr:uid="{00000000-0005-0000-0000-000058040000}"/>
    <cellStyle name="_TableRowHead_FORMAT K2 OCTOBER 2008 SPAGNA (2)_20100520_Appl Planning_CC-B" xfId="1125" xr:uid="{00000000-0005-0000-0000-000059040000}"/>
    <cellStyle name="_TableRowHead_FORMAT K2 OCTOBER 2008 SPAGNA (2)_20100610_Appl Planning_CC-B" xfId="1126" xr:uid="{00000000-0005-0000-0000-00005A040000}"/>
    <cellStyle name="_TableRowHead_FORMAT K2 OCTOBER 2008 SPAGNA (2)_20100621_Appl Planning_CC-B" xfId="1127" xr:uid="{00000000-0005-0000-0000-00005B040000}"/>
    <cellStyle name="_TableRowHead_FORMAT K2 OCTOBER 2008 SPAGNA (2)_20100716_Appl Planning_CC-B" xfId="1128" xr:uid="{00000000-0005-0000-0000-00005C040000}"/>
    <cellStyle name="_TableRowHead_FORMAT K2 OCTOBER 2008 SPAGNA (2)_20100916_Appl Planning_CC-B" xfId="1129" xr:uid="{00000000-0005-0000-0000-00005D040000}"/>
    <cellStyle name="_TableRowHead_K2 DEC" xfId="1130" xr:uid="{00000000-0005-0000-0000-00005E040000}"/>
    <cellStyle name="_TableRowHead_K2 DEC_20100209_Appl Planning_CC-B" xfId="1131" xr:uid="{00000000-0005-0000-0000-00005F040000}"/>
    <cellStyle name="_TableRowHead_K2 DEC_20100324_Appl Planning_CC-B" xfId="1132" xr:uid="{00000000-0005-0000-0000-000060040000}"/>
    <cellStyle name="_TableRowHead_K2 DEC_20100520_Appl Planning_CC-B" xfId="1133" xr:uid="{00000000-0005-0000-0000-000061040000}"/>
    <cellStyle name="_TableRowHead_K2 DEC_20100610_Appl Planning_CC-B" xfId="1134" xr:uid="{00000000-0005-0000-0000-000062040000}"/>
    <cellStyle name="_TableRowHead_K2 DEC_20100621_Appl Planning_CC-B" xfId="1135" xr:uid="{00000000-0005-0000-0000-000063040000}"/>
    <cellStyle name="_TableRowHead_K2 DEC_20100716_Appl Planning_CC-B" xfId="1136" xr:uid="{00000000-0005-0000-0000-000064040000}"/>
    <cellStyle name="_TableRowHead_K2 DEC_20100916_Appl Planning_CC-B" xfId="1137" xr:uid="{00000000-0005-0000-0000-000065040000}"/>
    <cellStyle name="_TableRowHead_K2 décembre 2008 - version MCLT" xfId="1138" xr:uid="{00000000-0005-0000-0000-000066040000}"/>
    <cellStyle name="_TableRowHead_K2 décembre 2008 - version MCLT_20100209_Appl Planning_CC-B" xfId="1139" xr:uid="{00000000-0005-0000-0000-000067040000}"/>
    <cellStyle name="_TableRowHead_K2 décembre 2008 - version MCLT_20100324_Appl Planning_CC-B" xfId="1140" xr:uid="{00000000-0005-0000-0000-000068040000}"/>
    <cellStyle name="_TableRowHead_K2 décembre 2008 - version MCLT_20100520_Appl Planning_CC-B" xfId="1141" xr:uid="{00000000-0005-0000-0000-000069040000}"/>
    <cellStyle name="_TableRowHead_K2 décembre 2008 - version MCLT_20100610_Appl Planning_CC-B" xfId="1142" xr:uid="{00000000-0005-0000-0000-00006A040000}"/>
    <cellStyle name="_TableRowHead_K2 décembre 2008 - version MCLT_20100621_Appl Planning_CC-B" xfId="1143" xr:uid="{00000000-0005-0000-0000-00006B040000}"/>
    <cellStyle name="_TableRowHead_K2 décembre 2008 - version MCLT_20100716_Appl Planning_CC-B" xfId="1144" xr:uid="{00000000-0005-0000-0000-00006C040000}"/>
    <cellStyle name="_TableRowHead_K2 décembre 2008 - version MCLT_20100916_Appl Planning_CC-B" xfId="1145" xr:uid="{00000000-0005-0000-0000-00006D040000}"/>
    <cellStyle name="_TableRowHead_K2 Mars 2009" xfId="1146" xr:uid="{00000000-0005-0000-0000-00006E040000}"/>
    <cellStyle name="_TableRowHead_K2 NOV" xfId="1147" xr:uid="{00000000-0005-0000-0000-00006F040000}"/>
    <cellStyle name="_TableRowHead_K2 NOV_20100209_Appl Planning_CC-B" xfId="1148" xr:uid="{00000000-0005-0000-0000-000070040000}"/>
    <cellStyle name="_TableRowHead_K2 NOV_20100324_Appl Planning_CC-B" xfId="1149" xr:uid="{00000000-0005-0000-0000-000071040000}"/>
    <cellStyle name="_TableRowHead_K2 NOV_20100520_Appl Planning_CC-B" xfId="1150" xr:uid="{00000000-0005-0000-0000-000072040000}"/>
    <cellStyle name="_TableRowHead_K2 NOV_20100610_Appl Planning_CC-B" xfId="1151" xr:uid="{00000000-0005-0000-0000-000073040000}"/>
    <cellStyle name="_TableRowHead_K2 NOV_20100621_Appl Planning_CC-B" xfId="1152" xr:uid="{00000000-0005-0000-0000-000074040000}"/>
    <cellStyle name="_TableRowHead_K2 NOV_20100716_Appl Planning_CC-B" xfId="1153" xr:uid="{00000000-0005-0000-0000-000075040000}"/>
    <cellStyle name="_TableRowHead_K2 NOV_20100916_Appl Planning_CC-B" xfId="1154" xr:uid="{00000000-0005-0000-0000-000076040000}"/>
    <cellStyle name="_TableRowHead_k2-Austria FKA 05 DF update 2009-01 (4)" xfId="1155" xr:uid="{00000000-0005-0000-0000-000077040000}"/>
    <cellStyle name="_TableRowHead_k2-Austria FKA 05 DF update 2009-01 (4)_20100209_Appl Planning_CC-B" xfId="1156" xr:uid="{00000000-0005-0000-0000-000078040000}"/>
    <cellStyle name="_TableRowHead_k2-Austria FKA 05 DF update 2009-01 (4)_20100324_Appl Planning_CC-B" xfId="1157" xr:uid="{00000000-0005-0000-0000-000079040000}"/>
    <cellStyle name="_TableRowHead_k2-Austria FKA 05 DF update 2009-01 (4)_20100520_Appl Planning_CC-B" xfId="1158" xr:uid="{00000000-0005-0000-0000-00007A040000}"/>
    <cellStyle name="_TableRowHead_k2-Austria FKA 05 DF update 2009-01 (4)_20100610_Appl Planning_CC-B" xfId="1159" xr:uid="{00000000-0005-0000-0000-00007B040000}"/>
    <cellStyle name="_TableRowHead_k2-Austria FKA 05 DF update 2009-01 (4)_20100621_Appl Planning_CC-B" xfId="1160" xr:uid="{00000000-0005-0000-0000-00007C040000}"/>
    <cellStyle name="_TableRowHead_k2-Austria FKA 05 DF update 2009-01 (4)_20100716_Appl Planning_CC-B" xfId="1161" xr:uid="{00000000-0005-0000-0000-00007D040000}"/>
    <cellStyle name="_TableRowHead_k2-Austria FKA 05 DF update 2009-01 (4)_20100916_Appl Planning_CC-B" xfId="1162" xr:uid="{00000000-0005-0000-0000-00007E040000}"/>
    <cellStyle name="_TableRowHead_k2-Austria FKA 05 DF update 2009-03" xfId="1163" xr:uid="{00000000-0005-0000-0000-00007F040000}"/>
    <cellStyle name="_TableRowHead_k2-Austria FKA 05 DF update 2009-03_20100209_Appl Planning_CC-B" xfId="1164" xr:uid="{00000000-0005-0000-0000-000080040000}"/>
    <cellStyle name="_TableRowHead_k2-Austria FKA 05 DF update 2009-03_20100324_Appl Planning_CC-B" xfId="1165" xr:uid="{00000000-0005-0000-0000-000081040000}"/>
    <cellStyle name="_TableRowHead_k2-Austria FKA 05 DF update 2009-03_20100520_Appl Planning_CC-B" xfId="1166" xr:uid="{00000000-0005-0000-0000-000082040000}"/>
    <cellStyle name="_TableRowHead_k2-Austria FKA 05 DF update 2009-03_20100610_Appl Planning_CC-B" xfId="1167" xr:uid="{00000000-0005-0000-0000-000083040000}"/>
    <cellStyle name="_TableRowHead_k2-Austria FKA 05 DF update 2009-03_20100621_Appl Planning_CC-B" xfId="1168" xr:uid="{00000000-0005-0000-0000-000084040000}"/>
    <cellStyle name="_TableRowHead_k2-Austria FKA 05 DF update 2009-03_20100716_Appl Planning_CC-B" xfId="1169" xr:uid="{00000000-0005-0000-0000-000085040000}"/>
    <cellStyle name="_TableRowHead_k2-Austria FKA 05 DF update 2009-03_20100916_Appl Planning_CC-B" xfId="1170" xr:uid="{00000000-0005-0000-0000-000086040000}"/>
    <cellStyle name="_TableRowHead_new 5 07 DE" xfId="1171" xr:uid="{00000000-0005-0000-0000-000087040000}"/>
    <cellStyle name="_TableRowHead_new 5 07 DE_20100209_Appl Planning_CC-B" xfId="1172" xr:uid="{00000000-0005-0000-0000-000088040000}"/>
    <cellStyle name="_TableRowHead_new 5 07 DE_20100324_Appl Planning_CC-B" xfId="1173" xr:uid="{00000000-0005-0000-0000-000089040000}"/>
    <cellStyle name="_TableRowHead_new 5 07 DE_20100520_Appl Planning_CC-B" xfId="1174" xr:uid="{00000000-0005-0000-0000-00008A040000}"/>
    <cellStyle name="_TableRowHead_new 5 07 DE_20100610_Appl Planning_CC-B" xfId="1175" xr:uid="{00000000-0005-0000-0000-00008B040000}"/>
    <cellStyle name="_TableRowHead_new 5 07 DE_20100621_Appl Planning_CC-B" xfId="1176" xr:uid="{00000000-0005-0000-0000-00008C040000}"/>
    <cellStyle name="_TableRowHead_new 5 07 DE_20100716_Appl Planning_CC-B" xfId="1177" xr:uid="{00000000-0005-0000-0000-00008D040000}"/>
    <cellStyle name="_TableRowHead_new 5 07 DE_20100916_Appl Planning_CC-B" xfId="1178" xr:uid="{00000000-0005-0000-0000-00008E040000}"/>
    <cellStyle name="_TableRowHead_overplafond" xfId="1179" xr:uid="{00000000-0005-0000-0000-00008F040000}"/>
    <cellStyle name="_TableRowHead_overplafond_20100209_Appl Planning_CC-B" xfId="1180" xr:uid="{00000000-0005-0000-0000-000090040000}"/>
    <cellStyle name="_TableRowHead_overplafond_20100324_Appl Planning_CC-B" xfId="1181" xr:uid="{00000000-0005-0000-0000-000091040000}"/>
    <cellStyle name="_TableRowHead_overplafond_20100520_Appl Planning_CC-B" xfId="1182" xr:uid="{00000000-0005-0000-0000-000092040000}"/>
    <cellStyle name="_TableRowHead_overplafond_20100610_Appl Planning_CC-B" xfId="1183" xr:uid="{00000000-0005-0000-0000-000093040000}"/>
    <cellStyle name="_TableRowHead_overplafond_20100621_Appl Planning_CC-B" xfId="1184" xr:uid="{00000000-0005-0000-0000-000094040000}"/>
    <cellStyle name="_TableRowHead_overplafond_20100716_Appl Planning_CC-B" xfId="1185" xr:uid="{00000000-0005-0000-0000-000095040000}"/>
    <cellStyle name="_TableRowHead_overplafond_20100916_Appl Planning_CC-B" xfId="1186" xr:uid="{00000000-0005-0000-0000-000096040000}"/>
    <cellStyle name="_TableRowHead_préparatifs 5-07" xfId="1187" xr:uid="{00000000-0005-0000-0000-000097040000}"/>
    <cellStyle name="_TableRowHead_préparatifs 5-07_20100209_Appl Planning_CC-B" xfId="1188" xr:uid="{00000000-0005-0000-0000-000098040000}"/>
    <cellStyle name="_TableRowHead_préparatifs 5-07_20100324_Appl Planning_CC-B" xfId="1189" xr:uid="{00000000-0005-0000-0000-000099040000}"/>
    <cellStyle name="_TableRowHead_préparatifs 5-07_20100520_Appl Planning_CC-B" xfId="1190" xr:uid="{00000000-0005-0000-0000-00009A040000}"/>
    <cellStyle name="_TableRowHead_préparatifs 5-07_20100610_Appl Planning_CC-B" xfId="1191" xr:uid="{00000000-0005-0000-0000-00009B040000}"/>
    <cellStyle name="_TableRowHead_préparatifs 5-07_20100621_Appl Planning_CC-B" xfId="1192" xr:uid="{00000000-0005-0000-0000-00009C040000}"/>
    <cellStyle name="_TableRowHead_préparatifs 5-07_20100716_Appl Planning_CC-B" xfId="1193" xr:uid="{00000000-0005-0000-0000-00009D040000}"/>
    <cellStyle name="_TableRowHead_préparatifs 5-07_20100916_Appl Planning_CC-B" xfId="1194" xr:uid="{00000000-0005-0000-0000-00009E040000}"/>
    <cellStyle name="_TableRowHead_Sheet 5.05b" xfId="1195" xr:uid="{00000000-0005-0000-0000-00009F040000}"/>
    <cellStyle name="_TableRowHead_Sheet 5.05b_5.07" xfId="1196" xr:uid="{00000000-0005-0000-0000-0000A0040000}"/>
    <cellStyle name="_TableRowHead_Sheet 5.05b_5.07 janvier" xfId="1197" xr:uid="{00000000-0005-0000-0000-0000A1040000}"/>
    <cellStyle name="_TableRowHead_Sheet 5.05b_base 5 07 per k2 dei dati di gennaio 2009" xfId="1198" xr:uid="{00000000-0005-0000-0000-0000A2040000}"/>
    <cellStyle name="_TableRowHead_Sheet 5.05b_Copie de Fichier K2 30_11_08" xfId="1199" xr:uid="{00000000-0005-0000-0000-0000A3040000}"/>
    <cellStyle name="_TableRowHead_Sheet 5.05b_Copie de FORMAT K2 31 01 09" xfId="1200" xr:uid="{00000000-0005-0000-0000-0000A4040000}"/>
    <cellStyle name="_TableRowHead_Sheet 5.05b_Critical still operating 090531" xfId="1201" xr:uid="{00000000-0005-0000-0000-0000A5040000}"/>
    <cellStyle name="_TableRowHead_Sheet 5.05b_FGA ENCOURS ET FACTURES 2 06 2009" xfId="1202" xr:uid="{00000000-0005-0000-0000-0000A6040000}"/>
    <cellStyle name="_TableRowHead_Sheet 5.05b_Fichier K2 28_02_09" xfId="1203" xr:uid="{00000000-0005-0000-0000-0000A7040000}"/>
    <cellStyle name="_TableRowHead_Sheet 5.05b_Fichier K2 30_04_09" xfId="1204" xr:uid="{00000000-0005-0000-0000-0000A8040000}"/>
    <cellStyle name="_TableRowHead_Sheet 5.05b_Fichier K2 31_01_09" xfId="1205" xr:uid="{00000000-0005-0000-0000-0000A9040000}"/>
    <cellStyle name="_TableRowHead_Sheet 5.05b_Fichier K2 31_03_09" xfId="1206" xr:uid="{00000000-0005-0000-0000-0000AA040000}"/>
    <cellStyle name="_TableRowHead_Sheet 5.05b_Fichier K2 31_05_09" xfId="1207" xr:uid="{00000000-0005-0000-0000-0000AB040000}"/>
    <cellStyle name="_TableRowHead_Sheet 5.05b_Fichier K2 31_12_08" xfId="1208" xr:uid="{00000000-0005-0000-0000-0000AC040000}"/>
    <cellStyle name="_TableRowHead_Sheet 5.05b_FORMAT K2 30 11 08" xfId="1209" xr:uid="{00000000-0005-0000-0000-0000AD040000}"/>
    <cellStyle name="_TableRowHead_Sheet 5.05b_FORMAT K2 30 11 08 (12)" xfId="1210" xr:uid="{00000000-0005-0000-0000-0000AE040000}"/>
    <cellStyle name="_TableRowHead_Sheet 5.05b_FORMAT K2 30 11 08 (13)" xfId="1211" xr:uid="{00000000-0005-0000-0000-0000AF040000}"/>
    <cellStyle name="_TableRowHead_Sheet 5.05b_FORMAT K2 30 11 08 (14)" xfId="1212" xr:uid="{00000000-0005-0000-0000-0000B0040000}"/>
    <cellStyle name="_TableRowHead_Sheet 5.05b_FORMAT K2 30 11 08 (15)" xfId="1213" xr:uid="{00000000-0005-0000-0000-0000B1040000}"/>
    <cellStyle name="_TableRowHead_Sheet 5.05b_FORMAT K2 30 11 08 (16)" xfId="1214" xr:uid="{00000000-0005-0000-0000-0000B2040000}"/>
    <cellStyle name="_TableRowHead_Sheet 5.05b_FORMAT K2 30 11 08 (17)" xfId="1215" xr:uid="{00000000-0005-0000-0000-0000B3040000}"/>
    <cellStyle name="_TableRowHead_Sheet 5.05b_FORMAT K2 30 11 08 (18)" xfId="1216" xr:uid="{00000000-0005-0000-0000-0000B4040000}"/>
    <cellStyle name="_TableRowHead_Sheet 5.05b_FORMAT K2 30 11 08 (19)" xfId="1217" xr:uid="{00000000-0005-0000-0000-0000B5040000}"/>
    <cellStyle name="_TableRowHead_Sheet 5.05b_FORMAT K2 30 11 08 (20)" xfId="1218" xr:uid="{00000000-0005-0000-0000-0000B6040000}"/>
    <cellStyle name="_TableRowHead_Sheet 5.05b_FORMAT K2 31 01 09" xfId="1219" xr:uid="{00000000-0005-0000-0000-0000B7040000}"/>
    <cellStyle name="_TableRowHead_Sheet 5.05b_FORMAT K2 31 01 09 (14)" xfId="1220" xr:uid="{00000000-0005-0000-0000-0000B8040000}"/>
    <cellStyle name="_TableRowHead_Sheet 5.05b_FORMAT K2 31 01 09 (22)" xfId="1221" xr:uid="{00000000-0005-0000-0000-0000B9040000}"/>
    <cellStyle name="_TableRowHead_Sheet 5.05b_FORMAT K2 31 03 09 UK" xfId="1222" xr:uid="{00000000-0005-0000-0000-0000BA040000}"/>
    <cellStyle name="_TableRowHead_Sheet 5.05b_FORMAT K2 31 05 09 FRANCE" xfId="1223" xr:uid="{00000000-0005-0000-0000-0000BB040000}"/>
    <cellStyle name="_TableRowHead_Sheet 5.05b_FORMAT K2 31 12 08" xfId="1224" xr:uid="{00000000-0005-0000-0000-0000BC040000}"/>
    <cellStyle name="_TableRowHead_Sheet 5.05b_FORMAT K2 31 12 08 (2)" xfId="1225" xr:uid="{00000000-0005-0000-0000-0000BD040000}"/>
    <cellStyle name="_TableRowHead_Sheet 5.05b_FORMAT K2 31 12 08 (3)" xfId="1226" xr:uid="{00000000-0005-0000-0000-0000BE040000}"/>
    <cellStyle name="_TableRowHead_Sheet 5.05b_FORMAT K2 31 12 08 (4)" xfId="1227" xr:uid="{00000000-0005-0000-0000-0000BF040000}"/>
    <cellStyle name="_TableRowHead_Sheet 5.05b_FORMAT K2 31 12 08 (5)" xfId="1228" xr:uid="{00000000-0005-0000-0000-0000C0040000}"/>
    <cellStyle name="_TableRowHead_Sheet 5.05b_FORMAT K2 31 12 08 (6)" xfId="1229" xr:uid="{00000000-0005-0000-0000-0000C1040000}"/>
    <cellStyle name="_TableRowHead_Sheet 5.05b_FORMAT K2 31 12 08 (7)" xfId="1230" xr:uid="{00000000-0005-0000-0000-0000C2040000}"/>
    <cellStyle name="_TableRowHead_Sheet 5.05b_FORMAT K2 31 12 08 (8)" xfId="1231" xr:uid="{00000000-0005-0000-0000-0000C3040000}"/>
    <cellStyle name="_TableRowHead_Sheet 5.05b_FORMAT K2 ENERO (6)" xfId="1232" xr:uid="{00000000-0005-0000-0000-0000C4040000}"/>
    <cellStyle name="_TableRowHead_Sheet 5.05b_K2 April 2009" xfId="1233" xr:uid="{00000000-0005-0000-0000-0000C5040000}"/>
    <cellStyle name="_TableRowHead_Sheet 5.05b_K2 av 2009 - version MCLT" xfId="1234" xr:uid="{00000000-0005-0000-0000-0000C6040000}"/>
    <cellStyle name="_TableRowHead_Sheet 5.05b_K2 December 2008" xfId="1235" xr:uid="{00000000-0005-0000-0000-0000C7040000}"/>
    <cellStyle name="_TableRowHead_Sheet 5.05b_K2 February 2009" xfId="1236" xr:uid="{00000000-0005-0000-0000-0000C8040000}"/>
    <cellStyle name="_TableRowHead_Sheet 5.05b_K2 January 2009 (3)" xfId="1237" xr:uid="{00000000-0005-0000-0000-0000C9040000}"/>
    <cellStyle name="_TableRowHead_Sheet 5.05b_K2 mai 2009 - version MCLT" xfId="1238" xr:uid="{00000000-0005-0000-0000-0000CA040000}"/>
    <cellStyle name="_TableRowHead_Sheet 5.05b_K2 Mars 2009" xfId="1239" xr:uid="{00000000-0005-0000-0000-0000CB040000}"/>
    <cellStyle name="_TableRowHead_Sheet 5.05b_K2 November 2008 Francia" xfId="1240" xr:uid="{00000000-0005-0000-0000-0000CC040000}"/>
    <cellStyle name="_TableRowHead_Sheet 5.05b_preparatifs 5.07" xfId="1241" xr:uid="{00000000-0005-0000-0000-0000CD040000}"/>
    <cellStyle name="_TableRowHead_Sheet 5.05b_preparatifs 5.22-23" xfId="1242" xr:uid="{00000000-0005-0000-0000-0000CE040000}"/>
    <cellStyle name="_TableRowHead_Sheet 5.05b_préparatifs 5-07" xfId="1243" xr:uid="{00000000-0005-0000-0000-0000CF040000}"/>
    <cellStyle name="_TableSuperHead" xfId="1244" xr:uid="{00000000-0005-0000-0000-0000D0040000}"/>
    <cellStyle name="_TableSuperHead_20081202 - Austria" xfId="1245" xr:uid="{00000000-0005-0000-0000-0000D1040000}"/>
    <cellStyle name="_TableSuperHead_20081202 - Austria_20100209_Appl Planning_CC-B" xfId="1246" xr:uid="{00000000-0005-0000-0000-0000D2040000}"/>
    <cellStyle name="_TableSuperHead_20081202 - Austria_20100324_Appl Planning_CC-B" xfId="1247" xr:uid="{00000000-0005-0000-0000-0000D3040000}"/>
    <cellStyle name="_TableSuperHead_20081202 - Austria_20100520_Appl Planning_CC-B" xfId="1248" xr:uid="{00000000-0005-0000-0000-0000D4040000}"/>
    <cellStyle name="_TableSuperHead_20081202 - Austria_20100610_Appl Planning_CC-B" xfId="1249" xr:uid="{00000000-0005-0000-0000-0000D5040000}"/>
    <cellStyle name="_TableSuperHead_20081202 - Austria_20100621_Appl Planning_CC-B" xfId="1250" xr:uid="{00000000-0005-0000-0000-0000D6040000}"/>
    <cellStyle name="_TableSuperHead_20081202 - Austria_20100716_Appl Planning_CC-B" xfId="1251" xr:uid="{00000000-0005-0000-0000-0000D7040000}"/>
    <cellStyle name="_TableSuperHead_20081202 - Austria_20100916_Appl Planning_CC-B" xfId="1252" xr:uid="{00000000-0005-0000-0000-0000D8040000}"/>
    <cellStyle name="_TableSuperHead_20081202 - Denmark" xfId="1253" xr:uid="{00000000-0005-0000-0000-0000D9040000}"/>
    <cellStyle name="_TableSuperHead_20081202 - Denmark_20100209_Appl Planning_CC-B" xfId="1254" xr:uid="{00000000-0005-0000-0000-0000DA040000}"/>
    <cellStyle name="_TableSuperHead_20081202 - Denmark_20100324_Appl Planning_CC-B" xfId="1255" xr:uid="{00000000-0005-0000-0000-0000DB040000}"/>
    <cellStyle name="_TableSuperHead_20081202 - Denmark_20100520_Appl Planning_CC-B" xfId="1256" xr:uid="{00000000-0005-0000-0000-0000DC040000}"/>
    <cellStyle name="_TableSuperHead_20081202 - Denmark_20100610_Appl Planning_CC-B" xfId="1257" xr:uid="{00000000-0005-0000-0000-0000DD040000}"/>
    <cellStyle name="_TableSuperHead_20081202 - Denmark_20100621_Appl Planning_CC-B" xfId="1258" xr:uid="{00000000-0005-0000-0000-0000DE040000}"/>
    <cellStyle name="_TableSuperHead_20081202 - Denmark_20100716_Appl Planning_CC-B" xfId="1259" xr:uid="{00000000-0005-0000-0000-0000DF040000}"/>
    <cellStyle name="_TableSuperHead_20081202 - Denmark_20100916_Appl Planning_CC-B" xfId="1260" xr:uid="{00000000-0005-0000-0000-0000E0040000}"/>
    <cellStyle name="_TableSuperHead_20081202 - Poland" xfId="1261" xr:uid="{00000000-0005-0000-0000-0000E1040000}"/>
    <cellStyle name="_TableSuperHead_20081202 - Poland_20100209_Appl Planning_CC-B" xfId="1262" xr:uid="{00000000-0005-0000-0000-0000E2040000}"/>
    <cellStyle name="_TableSuperHead_20081202 - Poland_20100324_Appl Planning_CC-B" xfId="1263" xr:uid="{00000000-0005-0000-0000-0000E3040000}"/>
    <cellStyle name="_TableSuperHead_20081202 - Poland_20100520_Appl Planning_CC-B" xfId="1264" xr:uid="{00000000-0005-0000-0000-0000E4040000}"/>
    <cellStyle name="_TableSuperHead_20081202 - Poland_20100610_Appl Planning_CC-B" xfId="1265" xr:uid="{00000000-0005-0000-0000-0000E5040000}"/>
    <cellStyle name="_TableSuperHead_20081202 - Poland_20100621_Appl Planning_CC-B" xfId="1266" xr:uid="{00000000-0005-0000-0000-0000E6040000}"/>
    <cellStyle name="_TableSuperHead_20081202 - Poland_20100716_Appl Planning_CC-B" xfId="1267" xr:uid="{00000000-0005-0000-0000-0000E7040000}"/>
    <cellStyle name="_TableSuperHead_20081202 - Poland_20100916_Appl Planning_CC-B" xfId="1268" xr:uid="{00000000-0005-0000-0000-0000E8040000}"/>
    <cellStyle name="_TableSuperHead_5 07 inviato per novembre al mercato" xfId="1269" xr:uid="{00000000-0005-0000-0000-0000E9040000}"/>
    <cellStyle name="_TableSuperHead_5 07 inviato per novembre al mercato_20100209_Appl Planning_CC-B" xfId="1270" xr:uid="{00000000-0005-0000-0000-0000EA040000}"/>
    <cellStyle name="_TableSuperHead_5 07 inviato per novembre al mercato_20100324_Appl Planning_CC-B" xfId="1271" xr:uid="{00000000-0005-0000-0000-0000EB040000}"/>
    <cellStyle name="_TableSuperHead_5 07 inviato per novembre al mercato_20100520_Appl Planning_CC-B" xfId="1272" xr:uid="{00000000-0005-0000-0000-0000EC040000}"/>
    <cellStyle name="_TableSuperHead_5 07 inviato per novembre al mercato_20100610_Appl Planning_CC-B" xfId="1273" xr:uid="{00000000-0005-0000-0000-0000ED040000}"/>
    <cellStyle name="_TableSuperHead_5 07 inviato per novembre al mercato_20100621_Appl Planning_CC-B" xfId="1274" xr:uid="{00000000-0005-0000-0000-0000EE040000}"/>
    <cellStyle name="_TableSuperHead_5 07 inviato per novembre al mercato_20100716_Appl Planning_CC-B" xfId="1275" xr:uid="{00000000-0005-0000-0000-0000EF040000}"/>
    <cellStyle name="_TableSuperHead_5 07 inviato per novembre al mercato_20100916_Appl Planning_CC-B" xfId="1276" xr:uid="{00000000-0005-0000-0000-0000F0040000}"/>
    <cellStyle name="_TableSuperHead_5 07 k2 con dati di novembre" xfId="1277" xr:uid="{00000000-0005-0000-0000-0000F1040000}"/>
    <cellStyle name="_TableSuperHead_5 07 k2 con dati di novembre_20100209_Appl Planning_CC-B" xfId="1278" xr:uid="{00000000-0005-0000-0000-0000F2040000}"/>
    <cellStyle name="_TableSuperHead_5 07 k2 con dati di novembre_20100324_Appl Planning_CC-B" xfId="1279" xr:uid="{00000000-0005-0000-0000-0000F3040000}"/>
    <cellStyle name="_TableSuperHead_5 07 k2 con dati di novembre_20100520_Appl Planning_CC-B" xfId="1280" xr:uid="{00000000-0005-0000-0000-0000F4040000}"/>
    <cellStyle name="_TableSuperHead_5 07 k2 con dati di novembre_20100610_Appl Planning_CC-B" xfId="1281" xr:uid="{00000000-0005-0000-0000-0000F5040000}"/>
    <cellStyle name="_TableSuperHead_5 07 k2 con dati di novembre_20100621_Appl Planning_CC-B" xfId="1282" xr:uid="{00000000-0005-0000-0000-0000F6040000}"/>
    <cellStyle name="_TableSuperHead_5 07 k2 con dati di novembre_20100716_Appl Planning_CC-B" xfId="1283" xr:uid="{00000000-0005-0000-0000-0000F7040000}"/>
    <cellStyle name="_TableSuperHead_5 07 k2 con dati di novembre_20100916_Appl Planning_CC-B" xfId="1284" xr:uid="{00000000-0005-0000-0000-0000F8040000}"/>
    <cellStyle name="_TableSuperHead_Cartel1 (7)" xfId="1285" xr:uid="{00000000-0005-0000-0000-0000F9040000}"/>
    <cellStyle name="_TableSuperHead_Cartel1 (7)_20100209_Appl Planning_CC-B" xfId="1286" xr:uid="{00000000-0005-0000-0000-0000FA040000}"/>
    <cellStyle name="_TableSuperHead_Cartel1 (7)_20100324_Appl Planning_CC-B" xfId="1287" xr:uid="{00000000-0005-0000-0000-0000FB040000}"/>
    <cellStyle name="_TableSuperHead_Cartel1 (7)_20100520_Appl Planning_CC-B" xfId="1288" xr:uid="{00000000-0005-0000-0000-0000FC040000}"/>
    <cellStyle name="_TableSuperHead_Cartel1 (7)_20100610_Appl Planning_CC-B" xfId="1289" xr:uid="{00000000-0005-0000-0000-0000FD040000}"/>
    <cellStyle name="_TableSuperHead_Cartel1 (7)_20100621_Appl Planning_CC-B" xfId="1290" xr:uid="{00000000-0005-0000-0000-0000FE040000}"/>
    <cellStyle name="_TableSuperHead_Cartel1 (7)_20100716_Appl Planning_CC-B" xfId="1291" xr:uid="{00000000-0005-0000-0000-0000FF040000}"/>
    <cellStyle name="_TableSuperHead_Cartel1 (7)_20100916_Appl Planning_CC-B" xfId="1292" xr:uid="{00000000-0005-0000-0000-000000050000}"/>
    <cellStyle name="_TableSuperHead_Copie de K2 févrierr2009 - version MCLT" xfId="1293" xr:uid="{00000000-0005-0000-0000-000001050000}"/>
    <cellStyle name="_TableSuperHead_Copie de K2 févrierr2009 - version MCLT_20100209_Appl Planning_CC-B" xfId="1294" xr:uid="{00000000-0005-0000-0000-000002050000}"/>
    <cellStyle name="_TableSuperHead_Copie de K2 févrierr2009 - version MCLT_20100324_Appl Planning_CC-B" xfId="1295" xr:uid="{00000000-0005-0000-0000-000003050000}"/>
    <cellStyle name="_TableSuperHead_Copie de K2 févrierr2009 - version MCLT_20100520_Appl Planning_CC-B" xfId="1296" xr:uid="{00000000-0005-0000-0000-000004050000}"/>
    <cellStyle name="_TableSuperHead_Copie de K2 févrierr2009 - version MCLT_20100610_Appl Planning_CC-B" xfId="1297" xr:uid="{00000000-0005-0000-0000-000005050000}"/>
    <cellStyle name="_TableSuperHead_Copie de K2 févrierr2009 - version MCLT_20100621_Appl Planning_CC-B" xfId="1298" xr:uid="{00000000-0005-0000-0000-000006050000}"/>
    <cellStyle name="_TableSuperHead_Copie de K2 févrierr2009 - version MCLT_20100716_Appl Planning_CC-B" xfId="1299" xr:uid="{00000000-0005-0000-0000-000007050000}"/>
    <cellStyle name="_TableSuperHead_Copie de K2 févrierr2009 - version MCLT_20100916_Appl Planning_CC-B" xfId="1300" xr:uid="{00000000-0005-0000-0000-000008050000}"/>
    <cellStyle name="_TableSuperHead_Copie de K2 mars 2009 - version MCLT" xfId="1301" xr:uid="{00000000-0005-0000-0000-000009050000}"/>
    <cellStyle name="_TableSuperHead_Copie de K2 mars 2009 - version MCLT_20100209_Appl Planning_CC-B" xfId="1302" xr:uid="{00000000-0005-0000-0000-00000A050000}"/>
    <cellStyle name="_TableSuperHead_Copie de K2 mars 2009 - version MCLT_20100324_Appl Planning_CC-B" xfId="1303" xr:uid="{00000000-0005-0000-0000-00000B050000}"/>
    <cellStyle name="_TableSuperHead_Copie de K2 mars 2009 - version MCLT_20100520_Appl Planning_CC-B" xfId="1304" xr:uid="{00000000-0005-0000-0000-00000C050000}"/>
    <cellStyle name="_TableSuperHead_Copie de K2 mars 2009 - version MCLT_20100610_Appl Planning_CC-B" xfId="1305" xr:uid="{00000000-0005-0000-0000-00000D050000}"/>
    <cellStyle name="_TableSuperHead_Copie de K2 mars 2009 - version MCLT_20100621_Appl Planning_CC-B" xfId="1306" xr:uid="{00000000-0005-0000-0000-00000E050000}"/>
    <cellStyle name="_TableSuperHead_Copie de K2 mars 2009 - version MCLT_20100716_Appl Planning_CC-B" xfId="1307" xr:uid="{00000000-0005-0000-0000-00000F050000}"/>
    <cellStyle name="_TableSuperHead_Copie de K2 mars 2009 - version MCLT_20100916_Appl Planning_CC-B" xfId="1308" xr:uid="{00000000-0005-0000-0000-000010050000}"/>
    <cellStyle name="_TableSuperHead_Copie de K2 novembre 2008 - version MCLT" xfId="1309" xr:uid="{00000000-0005-0000-0000-000011050000}"/>
    <cellStyle name="_TableSuperHead_Copie de K2 novembre 2008 - version MCLT_20100209_Appl Planning_CC-B" xfId="1310" xr:uid="{00000000-0005-0000-0000-000012050000}"/>
    <cellStyle name="_TableSuperHead_Copie de K2 novembre 2008 - version MCLT_20100324_Appl Planning_CC-B" xfId="1311" xr:uid="{00000000-0005-0000-0000-000013050000}"/>
    <cellStyle name="_TableSuperHead_Copie de K2 novembre 2008 - version MCLT_20100520_Appl Planning_CC-B" xfId="1312" xr:uid="{00000000-0005-0000-0000-000014050000}"/>
    <cellStyle name="_TableSuperHead_Copie de K2 novembre 2008 - version MCLT_20100610_Appl Planning_CC-B" xfId="1313" xr:uid="{00000000-0005-0000-0000-000015050000}"/>
    <cellStyle name="_TableSuperHead_Copie de K2 novembre 2008 - version MCLT_20100621_Appl Planning_CC-B" xfId="1314" xr:uid="{00000000-0005-0000-0000-000016050000}"/>
    <cellStyle name="_TableSuperHead_Copie de K2 novembre 2008 - version MCLT_20100716_Appl Planning_CC-B" xfId="1315" xr:uid="{00000000-0005-0000-0000-000017050000}"/>
    <cellStyle name="_TableSuperHead_Copie de K2 novembre 2008 - version MCLT_20100916_Appl Planning_CC-B" xfId="1316" xr:uid="{00000000-0005-0000-0000-000018050000}"/>
    <cellStyle name="_TableSuperHead_CRITICAL STILL OPERATING" xfId="1317" xr:uid="{00000000-0005-0000-0000-000019050000}"/>
    <cellStyle name="_TableSuperHead_CRITICAL STILL OPERATING_20100209_Appl Planning_CC-B" xfId="1318" xr:uid="{00000000-0005-0000-0000-00001A050000}"/>
    <cellStyle name="_TableSuperHead_CRITICAL STILL OPERATING_20100324_Appl Planning_CC-B" xfId="1319" xr:uid="{00000000-0005-0000-0000-00001B050000}"/>
    <cellStyle name="_TableSuperHead_CRITICAL STILL OPERATING_20100520_Appl Planning_CC-B" xfId="1320" xr:uid="{00000000-0005-0000-0000-00001C050000}"/>
    <cellStyle name="_TableSuperHead_CRITICAL STILL OPERATING_20100610_Appl Planning_CC-B" xfId="1321" xr:uid="{00000000-0005-0000-0000-00001D050000}"/>
    <cellStyle name="_TableSuperHead_CRITICAL STILL OPERATING_20100621_Appl Planning_CC-B" xfId="1322" xr:uid="{00000000-0005-0000-0000-00001E050000}"/>
    <cellStyle name="_TableSuperHead_CRITICAL STILL OPERATING_20100716_Appl Planning_CC-B" xfId="1323" xr:uid="{00000000-0005-0000-0000-00001F050000}"/>
    <cellStyle name="_TableSuperHead_CRITICAL STILL OPERATING_20100916_Appl Planning_CC-B" xfId="1324" xr:uid="{00000000-0005-0000-0000-000020050000}"/>
    <cellStyle name="_TableSuperHead_Feuil1" xfId="1325" xr:uid="{00000000-0005-0000-0000-000021050000}"/>
    <cellStyle name="_TableSuperHead_FORMAT K2 NOVEMBER 2008" xfId="1326" xr:uid="{00000000-0005-0000-0000-000022050000}"/>
    <cellStyle name="_TableSuperHead_FORMAT K2 NOVEMBER 2008 (2)" xfId="1327" xr:uid="{00000000-0005-0000-0000-000023050000}"/>
    <cellStyle name="_TableSuperHead_FORMAT K2 NOVEMBER 2008 (2)_20100209_Appl Planning_CC-B" xfId="1328" xr:uid="{00000000-0005-0000-0000-000024050000}"/>
    <cellStyle name="_TableSuperHead_FORMAT K2 NOVEMBER 2008 (2)_20100324_Appl Planning_CC-B" xfId="1329" xr:uid="{00000000-0005-0000-0000-000025050000}"/>
    <cellStyle name="_TableSuperHead_FORMAT K2 NOVEMBER 2008 (2)_20100520_Appl Planning_CC-B" xfId="1330" xr:uid="{00000000-0005-0000-0000-000026050000}"/>
    <cellStyle name="_TableSuperHead_FORMAT K2 NOVEMBER 2008 (2)_20100610_Appl Planning_CC-B" xfId="1331" xr:uid="{00000000-0005-0000-0000-000027050000}"/>
    <cellStyle name="_TableSuperHead_FORMAT K2 NOVEMBER 2008 (2)_20100621_Appl Planning_CC-B" xfId="1332" xr:uid="{00000000-0005-0000-0000-000028050000}"/>
    <cellStyle name="_TableSuperHead_FORMAT K2 NOVEMBER 2008 (2)_20100716_Appl Planning_CC-B" xfId="1333" xr:uid="{00000000-0005-0000-0000-000029050000}"/>
    <cellStyle name="_TableSuperHead_FORMAT K2 NOVEMBER 2008 (2)_20100916_Appl Planning_CC-B" xfId="1334" xr:uid="{00000000-0005-0000-0000-00002A050000}"/>
    <cellStyle name="_TableSuperHead_FORMAT K2 NOVEMBER 2008 (3)" xfId="1335" xr:uid="{00000000-0005-0000-0000-00002B050000}"/>
    <cellStyle name="_TableSuperHead_FORMAT K2 NOVEMBER 2008 (3)_20100209_Appl Planning_CC-B" xfId="1336" xr:uid="{00000000-0005-0000-0000-00002C050000}"/>
    <cellStyle name="_TableSuperHead_FORMAT K2 NOVEMBER 2008 (3)_20100324_Appl Planning_CC-B" xfId="1337" xr:uid="{00000000-0005-0000-0000-00002D050000}"/>
    <cellStyle name="_TableSuperHead_FORMAT K2 NOVEMBER 2008 (3)_20100520_Appl Planning_CC-B" xfId="1338" xr:uid="{00000000-0005-0000-0000-00002E050000}"/>
    <cellStyle name="_TableSuperHead_FORMAT K2 NOVEMBER 2008 (3)_20100610_Appl Planning_CC-B" xfId="1339" xr:uid="{00000000-0005-0000-0000-00002F050000}"/>
    <cellStyle name="_TableSuperHead_FORMAT K2 NOVEMBER 2008 (3)_20100621_Appl Planning_CC-B" xfId="1340" xr:uid="{00000000-0005-0000-0000-000030050000}"/>
    <cellStyle name="_TableSuperHead_FORMAT K2 NOVEMBER 2008 (3)_20100716_Appl Planning_CC-B" xfId="1341" xr:uid="{00000000-0005-0000-0000-000031050000}"/>
    <cellStyle name="_TableSuperHead_FORMAT K2 NOVEMBER 2008 (3)_20100916_Appl Planning_CC-B" xfId="1342" xr:uid="{00000000-0005-0000-0000-000032050000}"/>
    <cellStyle name="_TableSuperHead_FORMAT K2 NOVEMBER 2008 SVIZZERA" xfId="1343" xr:uid="{00000000-0005-0000-0000-000033050000}"/>
    <cellStyle name="_TableSuperHead_FORMAT K2 NOVEMBER 2008 SVIZZERA_20100209_Appl Planning_CC-B" xfId="1344" xr:uid="{00000000-0005-0000-0000-000034050000}"/>
    <cellStyle name="_TableSuperHead_FORMAT K2 NOVEMBER 2008 SVIZZERA_20100324_Appl Planning_CC-B" xfId="1345" xr:uid="{00000000-0005-0000-0000-000035050000}"/>
    <cellStyle name="_TableSuperHead_FORMAT K2 NOVEMBER 2008 SVIZZERA_20100520_Appl Planning_CC-B" xfId="1346" xr:uid="{00000000-0005-0000-0000-000036050000}"/>
    <cellStyle name="_TableSuperHead_FORMAT K2 NOVEMBER 2008 SVIZZERA_20100610_Appl Planning_CC-B" xfId="1347" xr:uid="{00000000-0005-0000-0000-000037050000}"/>
    <cellStyle name="_TableSuperHead_FORMAT K2 NOVEMBER 2008 SVIZZERA_20100621_Appl Planning_CC-B" xfId="1348" xr:uid="{00000000-0005-0000-0000-000038050000}"/>
    <cellStyle name="_TableSuperHead_FORMAT K2 NOVEMBER 2008 SVIZZERA_20100716_Appl Planning_CC-B" xfId="1349" xr:uid="{00000000-0005-0000-0000-000039050000}"/>
    <cellStyle name="_TableSuperHead_FORMAT K2 NOVEMBER 2008 SVIZZERA_20100916_Appl Planning_CC-B" xfId="1350" xr:uid="{00000000-0005-0000-0000-00003A050000}"/>
    <cellStyle name="_TableSuperHead_FORMAT K2 NOVEMBER 2008_20100209_Appl Planning_CC-B" xfId="1351" xr:uid="{00000000-0005-0000-0000-00003B050000}"/>
    <cellStyle name="_TableSuperHead_FORMAT K2 NOVEMBER 2008_20100324_Appl Planning_CC-B" xfId="1352" xr:uid="{00000000-0005-0000-0000-00003C050000}"/>
    <cellStyle name="_TableSuperHead_FORMAT K2 NOVEMBER 2008_20100520_Appl Planning_CC-B" xfId="1353" xr:uid="{00000000-0005-0000-0000-00003D050000}"/>
    <cellStyle name="_TableSuperHead_FORMAT K2 NOVEMBER 2008_20100610_Appl Planning_CC-B" xfId="1354" xr:uid="{00000000-0005-0000-0000-00003E050000}"/>
    <cellStyle name="_TableSuperHead_FORMAT K2 NOVEMBER 2008_20100621_Appl Planning_CC-B" xfId="1355" xr:uid="{00000000-0005-0000-0000-00003F050000}"/>
    <cellStyle name="_TableSuperHead_FORMAT K2 NOVEMBER 2008_20100716_Appl Planning_CC-B" xfId="1356" xr:uid="{00000000-0005-0000-0000-000040050000}"/>
    <cellStyle name="_TableSuperHead_FORMAT K2 NOVEMBER 2008_20100916_Appl Planning_CC-B" xfId="1357" xr:uid="{00000000-0005-0000-0000-000041050000}"/>
    <cellStyle name="_TableSuperHead_FORMAT K2 OCTOBER 2008 BELGIO (2)" xfId="1358" xr:uid="{00000000-0005-0000-0000-000042050000}"/>
    <cellStyle name="_TableSuperHead_FORMAT K2 OCTOBER 2008 BELGIO (2)_20100209_Appl Planning_CC-B" xfId="1359" xr:uid="{00000000-0005-0000-0000-000043050000}"/>
    <cellStyle name="_TableSuperHead_FORMAT K2 OCTOBER 2008 BELGIO (2)_20100324_Appl Planning_CC-B" xfId="1360" xr:uid="{00000000-0005-0000-0000-000044050000}"/>
    <cellStyle name="_TableSuperHead_FORMAT K2 OCTOBER 2008 BELGIO (2)_20100520_Appl Planning_CC-B" xfId="1361" xr:uid="{00000000-0005-0000-0000-000045050000}"/>
    <cellStyle name="_TableSuperHead_FORMAT K2 OCTOBER 2008 BELGIO (2)_20100610_Appl Planning_CC-B" xfId="1362" xr:uid="{00000000-0005-0000-0000-000046050000}"/>
    <cellStyle name="_TableSuperHead_FORMAT K2 OCTOBER 2008 BELGIO (2)_20100621_Appl Planning_CC-B" xfId="1363" xr:uid="{00000000-0005-0000-0000-000047050000}"/>
    <cellStyle name="_TableSuperHead_FORMAT K2 OCTOBER 2008 BELGIO (2)_20100716_Appl Planning_CC-B" xfId="1364" xr:uid="{00000000-0005-0000-0000-000048050000}"/>
    <cellStyle name="_TableSuperHead_FORMAT K2 OCTOBER 2008 BELGIO (2)_20100916_Appl Planning_CC-B" xfId="1365" xr:uid="{00000000-0005-0000-0000-000049050000}"/>
    <cellStyle name="_TableSuperHead_FORMAT K2 OCTOBER 2008 SPAGNA (2)" xfId="1366" xr:uid="{00000000-0005-0000-0000-00004A050000}"/>
    <cellStyle name="_TableSuperHead_FORMAT K2 OCTOBER 2008 SPAGNA (2)_20100209_Appl Planning_CC-B" xfId="1367" xr:uid="{00000000-0005-0000-0000-00004B050000}"/>
    <cellStyle name="_TableSuperHead_FORMAT K2 OCTOBER 2008 SPAGNA (2)_20100324_Appl Planning_CC-B" xfId="1368" xr:uid="{00000000-0005-0000-0000-00004C050000}"/>
    <cellStyle name="_TableSuperHead_FORMAT K2 OCTOBER 2008 SPAGNA (2)_20100520_Appl Planning_CC-B" xfId="1369" xr:uid="{00000000-0005-0000-0000-00004D050000}"/>
    <cellStyle name="_TableSuperHead_FORMAT K2 OCTOBER 2008 SPAGNA (2)_20100610_Appl Planning_CC-B" xfId="1370" xr:uid="{00000000-0005-0000-0000-00004E050000}"/>
    <cellStyle name="_TableSuperHead_FORMAT K2 OCTOBER 2008 SPAGNA (2)_20100621_Appl Planning_CC-B" xfId="1371" xr:uid="{00000000-0005-0000-0000-00004F050000}"/>
    <cellStyle name="_TableSuperHead_FORMAT K2 OCTOBER 2008 SPAGNA (2)_20100716_Appl Planning_CC-B" xfId="1372" xr:uid="{00000000-0005-0000-0000-000050050000}"/>
    <cellStyle name="_TableSuperHead_FORMAT K2 OCTOBER 2008 SPAGNA (2)_20100916_Appl Planning_CC-B" xfId="1373" xr:uid="{00000000-0005-0000-0000-000051050000}"/>
    <cellStyle name="_TableSuperHead_K2 DEC" xfId="1374" xr:uid="{00000000-0005-0000-0000-000052050000}"/>
    <cellStyle name="_TableSuperHead_K2 DEC_20100209_Appl Planning_CC-B" xfId="1375" xr:uid="{00000000-0005-0000-0000-000053050000}"/>
    <cellStyle name="_TableSuperHead_K2 DEC_20100324_Appl Planning_CC-B" xfId="1376" xr:uid="{00000000-0005-0000-0000-000054050000}"/>
    <cellStyle name="_TableSuperHead_K2 DEC_20100520_Appl Planning_CC-B" xfId="1377" xr:uid="{00000000-0005-0000-0000-000055050000}"/>
    <cellStyle name="_TableSuperHead_K2 DEC_20100610_Appl Planning_CC-B" xfId="1378" xr:uid="{00000000-0005-0000-0000-000056050000}"/>
    <cellStyle name="_TableSuperHead_K2 DEC_20100621_Appl Planning_CC-B" xfId="1379" xr:uid="{00000000-0005-0000-0000-000057050000}"/>
    <cellStyle name="_TableSuperHead_K2 DEC_20100716_Appl Planning_CC-B" xfId="1380" xr:uid="{00000000-0005-0000-0000-000058050000}"/>
    <cellStyle name="_TableSuperHead_K2 DEC_20100916_Appl Planning_CC-B" xfId="1381" xr:uid="{00000000-0005-0000-0000-000059050000}"/>
    <cellStyle name="_TableSuperHead_K2 décembre 2008 - version MCLT" xfId="1382" xr:uid="{00000000-0005-0000-0000-00005A050000}"/>
    <cellStyle name="_TableSuperHead_K2 décembre 2008 - version MCLT_20100209_Appl Planning_CC-B" xfId="1383" xr:uid="{00000000-0005-0000-0000-00005B050000}"/>
    <cellStyle name="_TableSuperHead_K2 décembre 2008 - version MCLT_20100324_Appl Planning_CC-B" xfId="1384" xr:uid="{00000000-0005-0000-0000-00005C050000}"/>
    <cellStyle name="_TableSuperHead_K2 décembre 2008 - version MCLT_20100520_Appl Planning_CC-B" xfId="1385" xr:uid="{00000000-0005-0000-0000-00005D050000}"/>
    <cellStyle name="_TableSuperHead_K2 décembre 2008 - version MCLT_20100610_Appl Planning_CC-B" xfId="1386" xr:uid="{00000000-0005-0000-0000-00005E050000}"/>
    <cellStyle name="_TableSuperHead_K2 décembre 2008 - version MCLT_20100621_Appl Planning_CC-B" xfId="1387" xr:uid="{00000000-0005-0000-0000-00005F050000}"/>
    <cellStyle name="_TableSuperHead_K2 décembre 2008 - version MCLT_20100716_Appl Planning_CC-B" xfId="1388" xr:uid="{00000000-0005-0000-0000-000060050000}"/>
    <cellStyle name="_TableSuperHead_K2 décembre 2008 - version MCLT_20100916_Appl Planning_CC-B" xfId="1389" xr:uid="{00000000-0005-0000-0000-000061050000}"/>
    <cellStyle name="_TableSuperHead_K2 Mars 2009" xfId="1390" xr:uid="{00000000-0005-0000-0000-000062050000}"/>
    <cellStyle name="_TableSuperHead_K2 NOV" xfId="1391" xr:uid="{00000000-0005-0000-0000-000063050000}"/>
    <cellStyle name="_TableSuperHead_K2 NOV_20100209_Appl Planning_CC-B" xfId="1392" xr:uid="{00000000-0005-0000-0000-000064050000}"/>
    <cellStyle name="_TableSuperHead_K2 NOV_20100324_Appl Planning_CC-B" xfId="1393" xr:uid="{00000000-0005-0000-0000-000065050000}"/>
    <cellStyle name="_TableSuperHead_K2 NOV_20100520_Appl Planning_CC-B" xfId="1394" xr:uid="{00000000-0005-0000-0000-000066050000}"/>
    <cellStyle name="_TableSuperHead_K2 NOV_20100610_Appl Planning_CC-B" xfId="1395" xr:uid="{00000000-0005-0000-0000-000067050000}"/>
    <cellStyle name="_TableSuperHead_K2 NOV_20100621_Appl Planning_CC-B" xfId="1396" xr:uid="{00000000-0005-0000-0000-000068050000}"/>
    <cellStyle name="_TableSuperHead_K2 NOV_20100716_Appl Planning_CC-B" xfId="1397" xr:uid="{00000000-0005-0000-0000-000069050000}"/>
    <cellStyle name="_TableSuperHead_K2 NOV_20100916_Appl Planning_CC-B" xfId="1398" xr:uid="{00000000-0005-0000-0000-00006A050000}"/>
    <cellStyle name="_TableSuperHead_k2-Austria FKA 05 DF update 2009-01 (4)" xfId="1399" xr:uid="{00000000-0005-0000-0000-00006B050000}"/>
    <cellStyle name="_TableSuperHead_k2-Austria FKA 05 DF update 2009-01 (4)_20100209_Appl Planning_CC-B" xfId="1400" xr:uid="{00000000-0005-0000-0000-00006C050000}"/>
    <cellStyle name="_TableSuperHead_k2-Austria FKA 05 DF update 2009-01 (4)_20100324_Appl Planning_CC-B" xfId="1401" xr:uid="{00000000-0005-0000-0000-00006D050000}"/>
    <cellStyle name="_TableSuperHead_k2-Austria FKA 05 DF update 2009-01 (4)_20100520_Appl Planning_CC-B" xfId="1402" xr:uid="{00000000-0005-0000-0000-00006E050000}"/>
    <cellStyle name="_TableSuperHead_k2-Austria FKA 05 DF update 2009-01 (4)_20100610_Appl Planning_CC-B" xfId="1403" xr:uid="{00000000-0005-0000-0000-00006F050000}"/>
    <cellStyle name="_TableSuperHead_k2-Austria FKA 05 DF update 2009-01 (4)_20100621_Appl Planning_CC-B" xfId="1404" xr:uid="{00000000-0005-0000-0000-000070050000}"/>
    <cellStyle name="_TableSuperHead_k2-Austria FKA 05 DF update 2009-01 (4)_20100716_Appl Planning_CC-B" xfId="1405" xr:uid="{00000000-0005-0000-0000-000071050000}"/>
    <cellStyle name="_TableSuperHead_k2-Austria FKA 05 DF update 2009-01 (4)_20100916_Appl Planning_CC-B" xfId="1406" xr:uid="{00000000-0005-0000-0000-000072050000}"/>
    <cellStyle name="_TableSuperHead_k2-Austria FKA 05 DF update 2009-03" xfId="1407" xr:uid="{00000000-0005-0000-0000-000073050000}"/>
    <cellStyle name="_TableSuperHead_k2-Austria FKA 05 DF update 2009-03_20100209_Appl Planning_CC-B" xfId="1408" xr:uid="{00000000-0005-0000-0000-000074050000}"/>
    <cellStyle name="_TableSuperHead_k2-Austria FKA 05 DF update 2009-03_20100324_Appl Planning_CC-B" xfId="1409" xr:uid="{00000000-0005-0000-0000-000075050000}"/>
    <cellStyle name="_TableSuperHead_k2-Austria FKA 05 DF update 2009-03_20100520_Appl Planning_CC-B" xfId="1410" xr:uid="{00000000-0005-0000-0000-000076050000}"/>
    <cellStyle name="_TableSuperHead_k2-Austria FKA 05 DF update 2009-03_20100610_Appl Planning_CC-B" xfId="1411" xr:uid="{00000000-0005-0000-0000-000077050000}"/>
    <cellStyle name="_TableSuperHead_k2-Austria FKA 05 DF update 2009-03_20100621_Appl Planning_CC-B" xfId="1412" xr:uid="{00000000-0005-0000-0000-000078050000}"/>
    <cellStyle name="_TableSuperHead_k2-Austria FKA 05 DF update 2009-03_20100716_Appl Planning_CC-B" xfId="1413" xr:uid="{00000000-0005-0000-0000-000079050000}"/>
    <cellStyle name="_TableSuperHead_k2-Austria FKA 05 DF update 2009-03_20100916_Appl Planning_CC-B" xfId="1414" xr:uid="{00000000-0005-0000-0000-00007A050000}"/>
    <cellStyle name="_TableSuperHead_new 5 07 DE" xfId="1415" xr:uid="{00000000-0005-0000-0000-00007B050000}"/>
    <cellStyle name="_TableSuperHead_new 5 07 DE_20100209_Appl Planning_CC-B" xfId="1416" xr:uid="{00000000-0005-0000-0000-00007C050000}"/>
    <cellStyle name="_TableSuperHead_new 5 07 DE_20100324_Appl Planning_CC-B" xfId="1417" xr:uid="{00000000-0005-0000-0000-00007D050000}"/>
    <cellStyle name="_TableSuperHead_new 5 07 DE_20100520_Appl Planning_CC-B" xfId="1418" xr:uid="{00000000-0005-0000-0000-00007E050000}"/>
    <cellStyle name="_TableSuperHead_new 5 07 DE_20100610_Appl Planning_CC-B" xfId="1419" xr:uid="{00000000-0005-0000-0000-00007F050000}"/>
    <cellStyle name="_TableSuperHead_new 5 07 DE_20100621_Appl Planning_CC-B" xfId="1420" xr:uid="{00000000-0005-0000-0000-000080050000}"/>
    <cellStyle name="_TableSuperHead_new 5 07 DE_20100716_Appl Planning_CC-B" xfId="1421" xr:uid="{00000000-0005-0000-0000-000081050000}"/>
    <cellStyle name="_TableSuperHead_new 5 07 DE_20100916_Appl Planning_CC-B" xfId="1422" xr:uid="{00000000-0005-0000-0000-000082050000}"/>
    <cellStyle name="_TableSuperHead_overplafond" xfId="1423" xr:uid="{00000000-0005-0000-0000-000083050000}"/>
    <cellStyle name="_TableSuperHead_overplafond_20100209_Appl Planning_CC-B" xfId="1424" xr:uid="{00000000-0005-0000-0000-000084050000}"/>
    <cellStyle name="_TableSuperHead_overplafond_20100324_Appl Planning_CC-B" xfId="1425" xr:uid="{00000000-0005-0000-0000-000085050000}"/>
    <cellStyle name="_TableSuperHead_overplafond_20100520_Appl Planning_CC-B" xfId="1426" xr:uid="{00000000-0005-0000-0000-000086050000}"/>
    <cellStyle name="_TableSuperHead_overplafond_20100610_Appl Planning_CC-B" xfId="1427" xr:uid="{00000000-0005-0000-0000-000087050000}"/>
    <cellStyle name="_TableSuperHead_overplafond_20100621_Appl Planning_CC-B" xfId="1428" xr:uid="{00000000-0005-0000-0000-000088050000}"/>
    <cellStyle name="_TableSuperHead_overplafond_20100716_Appl Planning_CC-B" xfId="1429" xr:uid="{00000000-0005-0000-0000-000089050000}"/>
    <cellStyle name="_TableSuperHead_overplafond_20100916_Appl Planning_CC-B" xfId="1430" xr:uid="{00000000-0005-0000-0000-00008A050000}"/>
    <cellStyle name="_TableSuperHead_préparatifs 5-07" xfId="1431" xr:uid="{00000000-0005-0000-0000-00008B050000}"/>
    <cellStyle name="_TableSuperHead_préparatifs 5-07_20100209_Appl Planning_CC-B" xfId="1432" xr:uid="{00000000-0005-0000-0000-00008C050000}"/>
    <cellStyle name="_TableSuperHead_préparatifs 5-07_20100324_Appl Planning_CC-B" xfId="1433" xr:uid="{00000000-0005-0000-0000-00008D050000}"/>
    <cellStyle name="_TableSuperHead_préparatifs 5-07_20100520_Appl Planning_CC-B" xfId="1434" xr:uid="{00000000-0005-0000-0000-00008E050000}"/>
    <cellStyle name="_TableSuperHead_préparatifs 5-07_20100610_Appl Planning_CC-B" xfId="1435" xr:uid="{00000000-0005-0000-0000-00008F050000}"/>
    <cellStyle name="_TableSuperHead_préparatifs 5-07_20100621_Appl Planning_CC-B" xfId="1436" xr:uid="{00000000-0005-0000-0000-000090050000}"/>
    <cellStyle name="_TableSuperHead_préparatifs 5-07_20100716_Appl Planning_CC-B" xfId="1437" xr:uid="{00000000-0005-0000-0000-000091050000}"/>
    <cellStyle name="_TableSuperHead_préparatifs 5-07_20100916_Appl Planning_CC-B" xfId="1438" xr:uid="{00000000-0005-0000-0000-000092050000}"/>
    <cellStyle name="_TableSuperHead_Sheet 5.05b" xfId="1439" xr:uid="{00000000-0005-0000-0000-000093050000}"/>
    <cellStyle name="_TableSuperHead_Sheet 5.05b_5.07" xfId="1440" xr:uid="{00000000-0005-0000-0000-000094050000}"/>
    <cellStyle name="_TableSuperHead_Sheet 5.05b_5.07 janvier" xfId="1441" xr:uid="{00000000-0005-0000-0000-000095050000}"/>
    <cellStyle name="_TableSuperHead_Sheet 5.05b_base 5 07 per k2 dei dati di gennaio 2009" xfId="1442" xr:uid="{00000000-0005-0000-0000-000096050000}"/>
    <cellStyle name="_TableSuperHead_Sheet 5.05b_Copie de Fichier K2 30_11_08" xfId="1443" xr:uid="{00000000-0005-0000-0000-000097050000}"/>
    <cellStyle name="_TableSuperHead_Sheet 5.05b_Copie de FORMAT K2 31 01 09" xfId="1444" xr:uid="{00000000-0005-0000-0000-000098050000}"/>
    <cellStyle name="_TableSuperHead_Sheet 5.05b_Critical still operating 090531" xfId="1445" xr:uid="{00000000-0005-0000-0000-000099050000}"/>
    <cellStyle name="_TableSuperHead_Sheet 5.05b_FGA ENCOURS ET FACTURES 2 06 2009" xfId="1446" xr:uid="{00000000-0005-0000-0000-00009A050000}"/>
    <cellStyle name="_TableSuperHead_Sheet 5.05b_Fichier K2 28_02_09" xfId="1447" xr:uid="{00000000-0005-0000-0000-00009B050000}"/>
    <cellStyle name="_TableSuperHead_Sheet 5.05b_Fichier K2 30_04_09" xfId="1448" xr:uid="{00000000-0005-0000-0000-00009C050000}"/>
    <cellStyle name="_TableSuperHead_Sheet 5.05b_Fichier K2 31_01_09" xfId="1449" xr:uid="{00000000-0005-0000-0000-00009D050000}"/>
    <cellStyle name="_TableSuperHead_Sheet 5.05b_Fichier K2 31_03_09" xfId="1450" xr:uid="{00000000-0005-0000-0000-00009E050000}"/>
    <cellStyle name="_TableSuperHead_Sheet 5.05b_Fichier K2 31_05_09" xfId="1451" xr:uid="{00000000-0005-0000-0000-00009F050000}"/>
    <cellStyle name="_TableSuperHead_Sheet 5.05b_Fichier K2 31_12_08" xfId="1452" xr:uid="{00000000-0005-0000-0000-0000A0050000}"/>
    <cellStyle name="_TableSuperHead_Sheet 5.05b_FORMAT K2 30 11 08" xfId="1453" xr:uid="{00000000-0005-0000-0000-0000A1050000}"/>
    <cellStyle name="_TableSuperHead_Sheet 5.05b_FORMAT K2 30 11 08 (12)" xfId="1454" xr:uid="{00000000-0005-0000-0000-0000A2050000}"/>
    <cellStyle name="_TableSuperHead_Sheet 5.05b_FORMAT K2 30 11 08 (13)" xfId="1455" xr:uid="{00000000-0005-0000-0000-0000A3050000}"/>
    <cellStyle name="_TableSuperHead_Sheet 5.05b_FORMAT K2 30 11 08 (14)" xfId="1456" xr:uid="{00000000-0005-0000-0000-0000A4050000}"/>
    <cellStyle name="_TableSuperHead_Sheet 5.05b_FORMAT K2 30 11 08 (15)" xfId="1457" xr:uid="{00000000-0005-0000-0000-0000A5050000}"/>
    <cellStyle name="_TableSuperHead_Sheet 5.05b_FORMAT K2 30 11 08 (16)" xfId="1458" xr:uid="{00000000-0005-0000-0000-0000A6050000}"/>
    <cellStyle name="_TableSuperHead_Sheet 5.05b_FORMAT K2 30 11 08 (17)" xfId="1459" xr:uid="{00000000-0005-0000-0000-0000A7050000}"/>
    <cellStyle name="_TableSuperHead_Sheet 5.05b_FORMAT K2 30 11 08 (18)" xfId="1460" xr:uid="{00000000-0005-0000-0000-0000A8050000}"/>
    <cellStyle name="_TableSuperHead_Sheet 5.05b_FORMAT K2 30 11 08 (19)" xfId="1461" xr:uid="{00000000-0005-0000-0000-0000A9050000}"/>
    <cellStyle name="_TableSuperHead_Sheet 5.05b_FORMAT K2 30 11 08 (20)" xfId="1462" xr:uid="{00000000-0005-0000-0000-0000AA050000}"/>
    <cellStyle name="_TableSuperHead_Sheet 5.05b_FORMAT K2 31 01 09" xfId="1463" xr:uid="{00000000-0005-0000-0000-0000AB050000}"/>
    <cellStyle name="_TableSuperHead_Sheet 5.05b_FORMAT K2 31 01 09 (14)" xfId="1464" xr:uid="{00000000-0005-0000-0000-0000AC050000}"/>
    <cellStyle name="_TableSuperHead_Sheet 5.05b_FORMAT K2 31 01 09 (22)" xfId="1465" xr:uid="{00000000-0005-0000-0000-0000AD050000}"/>
    <cellStyle name="_TableSuperHead_Sheet 5.05b_FORMAT K2 31 03 09 UK" xfId="1466" xr:uid="{00000000-0005-0000-0000-0000AE050000}"/>
    <cellStyle name="_TableSuperHead_Sheet 5.05b_FORMAT K2 31 05 09 FRANCE" xfId="1467" xr:uid="{00000000-0005-0000-0000-0000AF050000}"/>
    <cellStyle name="_TableSuperHead_Sheet 5.05b_FORMAT K2 31 12 08" xfId="1468" xr:uid="{00000000-0005-0000-0000-0000B0050000}"/>
    <cellStyle name="_TableSuperHead_Sheet 5.05b_FORMAT K2 31 12 08 (2)" xfId="1469" xr:uid="{00000000-0005-0000-0000-0000B1050000}"/>
    <cellStyle name="_TableSuperHead_Sheet 5.05b_FORMAT K2 31 12 08 (3)" xfId="1470" xr:uid="{00000000-0005-0000-0000-0000B2050000}"/>
    <cellStyle name="_TableSuperHead_Sheet 5.05b_FORMAT K2 31 12 08 (4)" xfId="1471" xr:uid="{00000000-0005-0000-0000-0000B3050000}"/>
    <cellStyle name="_TableSuperHead_Sheet 5.05b_FORMAT K2 31 12 08 (5)" xfId="1472" xr:uid="{00000000-0005-0000-0000-0000B4050000}"/>
    <cellStyle name="_TableSuperHead_Sheet 5.05b_FORMAT K2 31 12 08 (6)" xfId="1473" xr:uid="{00000000-0005-0000-0000-0000B5050000}"/>
    <cellStyle name="_TableSuperHead_Sheet 5.05b_FORMAT K2 31 12 08 (7)" xfId="1474" xr:uid="{00000000-0005-0000-0000-0000B6050000}"/>
    <cellStyle name="_TableSuperHead_Sheet 5.05b_FORMAT K2 31 12 08 (8)" xfId="1475" xr:uid="{00000000-0005-0000-0000-0000B7050000}"/>
    <cellStyle name="_TableSuperHead_Sheet 5.05b_FORMAT K2 ENERO (6)" xfId="1476" xr:uid="{00000000-0005-0000-0000-0000B8050000}"/>
    <cellStyle name="_TableSuperHead_Sheet 5.05b_K2 April 2009" xfId="1477" xr:uid="{00000000-0005-0000-0000-0000B9050000}"/>
    <cellStyle name="_TableSuperHead_Sheet 5.05b_K2 av 2009 - version MCLT" xfId="1478" xr:uid="{00000000-0005-0000-0000-0000BA050000}"/>
    <cellStyle name="_TableSuperHead_Sheet 5.05b_K2 December 2008" xfId="1479" xr:uid="{00000000-0005-0000-0000-0000BB050000}"/>
    <cellStyle name="_TableSuperHead_Sheet 5.05b_K2 February 2009" xfId="1480" xr:uid="{00000000-0005-0000-0000-0000BC050000}"/>
    <cellStyle name="_TableSuperHead_Sheet 5.05b_K2 January 2009 (3)" xfId="1481" xr:uid="{00000000-0005-0000-0000-0000BD050000}"/>
    <cellStyle name="_TableSuperHead_Sheet 5.05b_K2 mai 2009 - version MCLT" xfId="1482" xr:uid="{00000000-0005-0000-0000-0000BE050000}"/>
    <cellStyle name="_TableSuperHead_Sheet 5.05b_K2 Mars 2009" xfId="1483" xr:uid="{00000000-0005-0000-0000-0000BF050000}"/>
    <cellStyle name="_TableSuperHead_Sheet 5.05b_K2 November 2008 Francia" xfId="1484" xr:uid="{00000000-0005-0000-0000-0000C0050000}"/>
    <cellStyle name="_TableSuperHead_Sheet 5.05b_preparatifs 5.07" xfId="1485" xr:uid="{00000000-0005-0000-0000-0000C1050000}"/>
    <cellStyle name="_TableSuperHead_Sheet 5.05b_preparatifs 5.22-23" xfId="1486" xr:uid="{00000000-0005-0000-0000-0000C2050000}"/>
    <cellStyle name="_TableSuperHead_Sheet 5.05b_préparatifs 5-07" xfId="1487" xr:uid="{00000000-0005-0000-0000-0000C3050000}"/>
    <cellStyle name="20% - Accent1" xfId="1993" xr:uid="{00000000-0005-0000-0000-0000C4050000}"/>
    <cellStyle name="20% - Accent1 2" xfId="1877" xr:uid="{00000000-0005-0000-0000-0000C5050000}"/>
    <cellStyle name="20% - Accent1 3" xfId="1994" xr:uid="{00000000-0005-0000-0000-0000C6050000}"/>
    <cellStyle name="20% - Accent2" xfId="1995" xr:uid="{00000000-0005-0000-0000-0000C7050000}"/>
    <cellStyle name="20% - Accent2 2" xfId="1878" xr:uid="{00000000-0005-0000-0000-0000C8050000}"/>
    <cellStyle name="20% - Accent2 3" xfId="1996" xr:uid="{00000000-0005-0000-0000-0000C9050000}"/>
    <cellStyle name="20% - Accent3" xfId="1997" xr:uid="{00000000-0005-0000-0000-0000CA050000}"/>
    <cellStyle name="20% - Accent3 2" xfId="1879" xr:uid="{00000000-0005-0000-0000-0000CB050000}"/>
    <cellStyle name="20% - Accent3 3" xfId="1998" xr:uid="{00000000-0005-0000-0000-0000CC050000}"/>
    <cellStyle name="20% - Accent4" xfId="1999" xr:uid="{00000000-0005-0000-0000-0000CD050000}"/>
    <cellStyle name="20% - Accent4 2" xfId="1880" xr:uid="{00000000-0005-0000-0000-0000CE050000}"/>
    <cellStyle name="20% - Accent4 3" xfId="2000" xr:uid="{00000000-0005-0000-0000-0000CF050000}"/>
    <cellStyle name="20% - Accent5" xfId="2001" xr:uid="{00000000-0005-0000-0000-0000D0050000}"/>
    <cellStyle name="20% - Accent5 2" xfId="1881" xr:uid="{00000000-0005-0000-0000-0000D1050000}"/>
    <cellStyle name="20% - Accent5 3" xfId="2002" xr:uid="{00000000-0005-0000-0000-0000D2050000}"/>
    <cellStyle name="20% - Accent6" xfId="2003" xr:uid="{00000000-0005-0000-0000-0000D3050000}"/>
    <cellStyle name="20% - Accent6 2" xfId="1882" xr:uid="{00000000-0005-0000-0000-0000D4050000}"/>
    <cellStyle name="20% - Accent6 3" xfId="2004" xr:uid="{00000000-0005-0000-0000-0000D5050000}"/>
    <cellStyle name="20% - Colore 1 2" xfId="1488" xr:uid="{00000000-0005-0000-0000-0000D6050000}"/>
    <cellStyle name="20% - Colore 1 3" xfId="1816" xr:uid="{00000000-0005-0000-0000-0000D7050000}"/>
    <cellStyle name="20% - Colore 1 4" xfId="1817" xr:uid="{00000000-0005-0000-0000-0000D8050000}"/>
    <cellStyle name="20% - Colore 1 5" xfId="2005" xr:uid="{00000000-0005-0000-0000-0000D9050000}"/>
    <cellStyle name="20% - Colore 1 6" xfId="2006" xr:uid="{00000000-0005-0000-0000-0000DA050000}"/>
    <cellStyle name="20% - Colore 2 2" xfId="1489" xr:uid="{00000000-0005-0000-0000-0000DB050000}"/>
    <cellStyle name="20% - Colore 2 3" xfId="1818" xr:uid="{00000000-0005-0000-0000-0000DC050000}"/>
    <cellStyle name="20% - Colore 2 4" xfId="1819" xr:uid="{00000000-0005-0000-0000-0000DD050000}"/>
    <cellStyle name="20% - Colore 2 5" xfId="2007" xr:uid="{00000000-0005-0000-0000-0000DE050000}"/>
    <cellStyle name="20% - Colore 2 6" xfId="2008" xr:uid="{00000000-0005-0000-0000-0000DF050000}"/>
    <cellStyle name="20% - Colore 3 2" xfId="1490" xr:uid="{00000000-0005-0000-0000-0000E0050000}"/>
    <cellStyle name="20% - Colore 3 3" xfId="1820" xr:uid="{00000000-0005-0000-0000-0000E1050000}"/>
    <cellStyle name="20% - Colore 3 4" xfId="1821" xr:uid="{00000000-0005-0000-0000-0000E2050000}"/>
    <cellStyle name="20% - Colore 3 5" xfId="2009" xr:uid="{00000000-0005-0000-0000-0000E3050000}"/>
    <cellStyle name="20% - Colore 3 6" xfId="2010" xr:uid="{00000000-0005-0000-0000-0000E4050000}"/>
    <cellStyle name="20% - Colore 4 2" xfId="1491" xr:uid="{00000000-0005-0000-0000-0000E5050000}"/>
    <cellStyle name="20% - Colore 4 3" xfId="1822" xr:uid="{00000000-0005-0000-0000-0000E6050000}"/>
    <cellStyle name="20% - Colore 4 4" xfId="1823" xr:uid="{00000000-0005-0000-0000-0000E7050000}"/>
    <cellStyle name="20% - Colore 4 5" xfId="2011" xr:uid="{00000000-0005-0000-0000-0000E8050000}"/>
    <cellStyle name="20% - Colore 4 6" xfId="2012" xr:uid="{00000000-0005-0000-0000-0000E9050000}"/>
    <cellStyle name="20% - Colore 5 2" xfId="1492" xr:uid="{00000000-0005-0000-0000-0000EA050000}"/>
    <cellStyle name="20% - Colore 5 3" xfId="1824" xr:uid="{00000000-0005-0000-0000-0000EB050000}"/>
    <cellStyle name="20% - Colore 5 4" xfId="1825" xr:uid="{00000000-0005-0000-0000-0000EC050000}"/>
    <cellStyle name="20% - Colore 5 5" xfId="2013" xr:uid="{00000000-0005-0000-0000-0000ED050000}"/>
    <cellStyle name="20% - Colore 5 6" xfId="2014" xr:uid="{00000000-0005-0000-0000-0000EE050000}"/>
    <cellStyle name="20% - Colore 6 2" xfId="1493" xr:uid="{00000000-0005-0000-0000-0000EF050000}"/>
    <cellStyle name="20% - Colore 6 3" xfId="1826" xr:uid="{00000000-0005-0000-0000-0000F0050000}"/>
    <cellStyle name="20% - Colore 6 4" xfId="1827" xr:uid="{00000000-0005-0000-0000-0000F1050000}"/>
    <cellStyle name="20% - Colore 6 5" xfId="2015" xr:uid="{00000000-0005-0000-0000-0000F2050000}"/>
    <cellStyle name="20% - Colore 6 6" xfId="2016" xr:uid="{00000000-0005-0000-0000-0000F3050000}"/>
    <cellStyle name="20% - Énfasis1" xfId="1494" xr:uid="{00000000-0005-0000-0000-0000F4050000}"/>
    <cellStyle name="20% - Énfasis2" xfId="1495" xr:uid="{00000000-0005-0000-0000-0000F5050000}"/>
    <cellStyle name="20% - Énfasis3" xfId="1496" xr:uid="{00000000-0005-0000-0000-0000F6050000}"/>
    <cellStyle name="20% - Énfasis4" xfId="1497" xr:uid="{00000000-0005-0000-0000-0000F7050000}"/>
    <cellStyle name="20% - Énfasis5" xfId="1498" xr:uid="{00000000-0005-0000-0000-0000F8050000}"/>
    <cellStyle name="20% - Énfasis6" xfId="1499" xr:uid="{00000000-0005-0000-0000-0000F9050000}"/>
    <cellStyle name="40% - Accent1" xfId="2017" xr:uid="{00000000-0005-0000-0000-0000FA050000}"/>
    <cellStyle name="40% - Accent1 2" xfId="1883" xr:uid="{00000000-0005-0000-0000-0000FB050000}"/>
    <cellStyle name="40% - Accent1 3" xfId="2018" xr:uid="{00000000-0005-0000-0000-0000FC050000}"/>
    <cellStyle name="40% - Accent2" xfId="2019" xr:uid="{00000000-0005-0000-0000-0000FD050000}"/>
    <cellStyle name="40% - Accent2 2" xfId="1884" xr:uid="{00000000-0005-0000-0000-0000FE050000}"/>
    <cellStyle name="40% - Accent2 3" xfId="2020" xr:uid="{00000000-0005-0000-0000-0000FF050000}"/>
    <cellStyle name="40% - Accent3" xfId="2021" xr:uid="{00000000-0005-0000-0000-000000060000}"/>
    <cellStyle name="40% - Accent3 2" xfId="1885" xr:uid="{00000000-0005-0000-0000-000001060000}"/>
    <cellStyle name="40% - Accent4" xfId="2022" xr:uid="{00000000-0005-0000-0000-000002060000}"/>
    <cellStyle name="40% - Accent4 2" xfId="1886" xr:uid="{00000000-0005-0000-0000-000003060000}"/>
    <cellStyle name="40% - Accent4 3" xfId="2023" xr:uid="{00000000-0005-0000-0000-000004060000}"/>
    <cellStyle name="40% - Accent5" xfId="2024" xr:uid="{00000000-0005-0000-0000-000005060000}"/>
    <cellStyle name="40% - Accent5 2" xfId="1887" xr:uid="{00000000-0005-0000-0000-000006060000}"/>
    <cellStyle name="40% - Accent6" xfId="2025" xr:uid="{00000000-0005-0000-0000-000007060000}"/>
    <cellStyle name="40% - Accent6 2" xfId="1888" xr:uid="{00000000-0005-0000-0000-000008060000}"/>
    <cellStyle name="40% - Colore 1 2" xfId="1500" xr:uid="{00000000-0005-0000-0000-000009060000}"/>
    <cellStyle name="40% - Colore 1 3" xfId="1828" xr:uid="{00000000-0005-0000-0000-00000A060000}"/>
    <cellStyle name="40% - Colore 1 4" xfId="1829" xr:uid="{00000000-0005-0000-0000-00000B060000}"/>
    <cellStyle name="40% - Colore 1 5" xfId="2026" xr:uid="{00000000-0005-0000-0000-00000C060000}"/>
    <cellStyle name="40% - Colore 1 6" xfId="2027" xr:uid="{00000000-0005-0000-0000-00000D060000}"/>
    <cellStyle name="40% - Colore 2 2" xfId="1501" xr:uid="{00000000-0005-0000-0000-00000E060000}"/>
    <cellStyle name="40% - Colore 2 3" xfId="1830" xr:uid="{00000000-0005-0000-0000-00000F060000}"/>
    <cellStyle name="40% - Colore 2 4" xfId="1831" xr:uid="{00000000-0005-0000-0000-000010060000}"/>
    <cellStyle name="40% - Colore 2 5" xfId="2028" xr:uid="{00000000-0005-0000-0000-000011060000}"/>
    <cellStyle name="40% - Colore 2 6" xfId="2029" xr:uid="{00000000-0005-0000-0000-000012060000}"/>
    <cellStyle name="40% - Colore 3 2" xfId="1502" xr:uid="{00000000-0005-0000-0000-000013060000}"/>
    <cellStyle name="40% - Colore 3 3" xfId="1832" xr:uid="{00000000-0005-0000-0000-000014060000}"/>
    <cellStyle name="40% - Colore 3 4" xfId="1833" xr:uid="{00000000-0005-0000-0000-000015060000}"/>
    <cellStyle name="40% - Colore 3 5" xfId="2030" xr:uid="{00000000-0005-0000-0000-000016060000}"/>
    <cellStyle name="40% - Colore 3 6" xfId="2031" xr:uid="{00000000-0005-0000-0000-000017060000}"/>
    <cellStyle name="40% - Colore 4 2" xfId="1503" xr:uid="{00000000-0005-0000-0000-000018060000}"/>
    <cellStyle name="40% - Colore 4 3" xfId="1834" xr:uid="{00000000-0005-0000-0000-000019060000}"/>
    <cellStyle name="40% - Colore 4 4" xfId="1835" xr:uid="{00000000-0005-0000-0000-00001A060000}"/>
    <cellStyle name="40% - Colore 4 5" xfId="2032" xr:uid="{00000000-0005-0000-0000-00001B060000}"/>
    <cellStyle name="40% - Colore 4 6" xfId="2033" xr:uid="{00000000-0005-0000-0000-00001C060000}"/>
    <cellStyle name="40% - Colore 5 2" xfId="1504" xr:uid="{00000000-0005-0000-0000-00001D060000}"/>
    <cellStyle name="40% - Colore 5 3" xfId="1836" xr:uid="{00000000-0005-0000-0000-00001E060000}"/>
    <cellStyle name="40% - Colore 5 4" xfId="1837" xr:uid="{00000000-0005-0000-0000-00001F060000}"/>
    <cellStyle name="40% - Colore 5 5" xfId="2034" xr:uid="{00000000-0005-0000-0000-000020060000}"/>
    <cellStyle name="40% - Colore 5 6" xfId="2035" xr:uid="{00000000-0005-0000-0000-000021060000}"/>
    <cellStyle name="40% - Colore 6 2" xfId="1505" xr:uid="{00000000-0005-0000-0000-000022060000}"/>
    <cellStyle name="40% - Colore 6 3" xfId="1838" xr:uid="{00000000-0005-0000-0000-000023060000}"/>
    <cellStyle name="40% - Colore 6 4" xfId="1839" xr:uid="{00000000-0005-0000-0000-000024060000}"/>
    <cellStyle name="40% - Colore 6 5" xfId="2036" xr:uid="{00000000-0005-0000-0000-000025060000}"/>
    <cellStyle name="40% - Colore 6 6" xfId="2037" xr:uid="{00000000-0005-0000-0000-000026060000}"/>
    <cellStyle name="40% - Énfasis1" xfId="1506" xr:uid="{00000000-0005-0000-0000-000027060000}"/>
    <cellStyle name="40% - Énfasis2" xfId="1507" xr:uid="{00000000-0005-0000-0000-000028060000}"/>
    <cellStyle name="40% - Énfasis3" xfId="1508" xr:uid="{00000000-0005-0000-0000-000029060000}"/>
    <cellStyle name="40% - Énfasis4" xfId="1509" xr:uid="{00000000-0005-0000-0000-00002A060000}"/>
    <cellStyle name="40% - Énfasis5" xfId="1510" xr:uid="{00000000-0005-0000-0000-00002B060000}"/>
    <cellStyle name="40% - Énfasis6" xfId="1511" xr:uid="{00000000-0005-0000-0000-00002C060000}"/>
    <cellStyle name="60% - Accent1" xfId="2038" xr:uid="{00000000-0005-0000-0000-00002D060000}"/>
    <cellStyle name="60% - Accent1 2" xfId="1889" xr:uid="{00000000-0005-0000-0000-00002E060000}"/>
    <cellStyle name="60% - Accent1 3" xfId="2039" xr:uid="{00000000-0005-0000-0000-00002F060000}"/>
    <cellStyle name="60% - Accent2" xfId="2040" xr:uid="{00000000-0005-0000-0000-000030060000}"/>
    <cellStyle name="60% - Accent2 2" xfId="1890" xr:uid="{00000000-0005-0000-0000-000031060000}"/>
    <cellStyle name="60% - Accent2 3" xfId="2041" xr:uid="{00000000-0005-0000-0000-000032060000}"/>
    <cellStyle name="60% - Accent3" xfId="2042" xr:uid="{00000000-0005-0000-0000-000033060000}"/>
    <cellStyle name="60% - Accent3 2" xfId="1891" xr:uid="{00000000-0005-0000-0000-000034060000}"/>
    <cellStyle name="60% - Accent4" xfId="2043" xr:uid="{00000000-0005-0000-0000-000035060000}"/>
    <cellStyle name="60% - Accent4 2" xfId="1892" xr:uid="{00000000-0005-0000-0000-000036060000}"/>
    <cellStyle name="60% - Accent4 3" xfId="2044" xr:uid="{00000000-0005-0000-0000-000037060000}"/>
    <cellStyle name="60% - Accent5" xfId="2045" xr:uid="{00000000-0005-0000-0000-000038060000}"/>
    <cellStyle name="60% - Accent5 2" xfId="1893" xr:uid="{00000000-0005-0000-0000-000039060000}"/>
    <cellStyle name="60% - Accent5 3" xfId="2046" xr:uid="{00000000-0005-0000-0000-00003A060000}"/>
    <cellStyle name="60% - Accent6" xfId="2047" xr:uid="{00000000-0005-0000-0000-00003B060000}"/>
    <cellStyle name="60% - Accent6 2" xfId="1894" xr:uid="{00000000-0005-0000-0000-00003C060000}"/>
    <cellStyle name="60% - Accent6 3" xfId="2048" xr:uid="{00000000-0005-0000-0000-00003D060000}"/>
    <cellStyle name="60% - Colore 1 2" xfId="1512" xr:uid="{00000000-0005-0000-0000-00003E060000}"/>
    <cellStyle name="60% - Colore 1 3" xfId="1840" xr:uid="{00000000-0005-0000-0000-00003F060000}"/>
    <cellStyle name="60% - Colore 2 2" xfId="1513" xr:uid="{00000000-0005-0000-0000-000040060000}"/>
    <cellStyle name="60% - Colore 2 3" xfId="1841" xr:uid="{00000000-0005-0000-0000-000041060000}"/>
    <cellStyle name="60% - Colore 3 2" xfId="1514" xr:uid="{00000000-0005-0000-0000-000042060000}"/>
    <cellStyle name="60% - Colore 3 3" xfId="1842" xr:uid="{00000000-0005-0000-0000-000043060000}"/>
    <cellStyle name="60% - Colore 4 2" xfId="1515" xr:uid="{00000000-0005-0000-0000-000044060000}"/>
    <cellStyle name="60% - Colore 4 3" xfId="1843" xr:uid="{00000000-0005-0000-0000-000045060000}"/>
    <cellStyle name="60% - Colore 5 2" xfId="1516" xr:uid="{00000000-0005-0000-0000-000046060000}"/>
    <cellStyle name="60% - Colore 5 3" xfId="1844" xr:uid="{00000000-0005-0000-0000-000047060000}"/>
    <cellStyle name="60% - Colore 6 2" xfId="1517" xr:uid="{00000000-0005-0000-0000-000048060000}"/>
    <cellStyle name="60% - Colore 6 3" xfId="1845" xr:uid="{00000000-0005-0000-0000-000049060000}"/>
    <cellStyle name="60% - Énfasis1" xfId="1518" xr:uid="{00000000-0005-0000-0000-00004A060000}"/>
    <cellStyle name="60% - Énfasis2" xfId="1519" xr:uid="{00000000-0005-0000-0000-00004B060000}"/>
    <cellStyle name="60% - Énfasis3" xfId="1520" xr:uid="{00000000-0005-0000-0000-00004C060000}"/>
    <cellStyle name="60% - Énfasis4" xfId="1521" xr:uid="{00000000-0005-0000-0000-00004D060000}"/>
    <cellStyle name="60% - Énfasis5" xfId="1522" xr:uid="{00000000-0005-0000-0000-00004E060000}"/>
    <cellStyle name="60% - Énfasis6" xfId="1523" xr:uid="{00000000-0005-0000-0000-00004F060000}"/>
    <cellStyle name="Accent1" xfId="1524" xr:uid="{00000000-0005-0000-0000-000050060000}"/>
    <cellStyle name="Accent1 - 20%" xfId="1525" xr:uid="{00000000-0005-0000-0000-000051060000}"/>
    <cellStyle name="Accent1 - 20% 2" xfId="2049" xr:uid="{00000000-0005-0000-0000-000052060000}"/>
    <cellStyle name="Accent1 - 20% 2 2" xfId="2050" xr:uid="{00000000-0005-0000-0000-000053060000}"/>
    <cellStyle name="Accent1 - 20% 2 3" xfId="2051" xr:uid="{00000000-0005-0000-0000-000054060000}"/>
    <cellStyle name="Accent1 - 20% 3" xfId="2052" xr:uid="{00000000-0005-0000-0000-000055060000}"/>
    <cellStyle name="Accent1 - 40%" xfId="1526" xr:uid="{00000000-0005-0000-0000-000056060000}"/>
    <cellStyle name="Accent1 - 40% 2" xfId="2053" xr:uid="{00000000-0005-0000-0000-000057060000}"/>
    <cellStyle name="Accent1 - 40% 2 2" xfId="2054" xr:uid="{00000000-0005-0000-0000-000058060000}"/>
    <cellStyle name="Accent1 - 40% 2 3" xfId="2055" xr:uid="{00000000-0005-0000-0000-000059060000}"/>
    <cellStyle name="Accent1 - 40% 3" xfId="2056" xr:uid="{00000000-0005-0000-0000-00005A060000}"/>
    <cellStyle name="Accent1 - 60%" xfId="1527" xr:uid="{00000000-0005-0000-0000-00005B060000}"/>
    <cellStyle name="Accent1 - 60% 2" xfId="2057" xr:uid="{00000000-0005-0000-0000-00005C060000}"/>
    <cellStyle name="Accent1 - 60% 2 2" xfId="2058" xr:uid="{00000000-0005-0000-0000-00005D060000}"/>
    <cellStyle name="Accent1 - 60% 2 3" xfId="2059" xr:uid="{00000000-0005-0000-0000-00005E060000}"/>
    <cellStyle name="Accent1 - 60% 3" xfId="2060" xr:uid="{00000000-0005-0000-0000-00005F060000}"/>
    <cellStyle name="Accent1 2" xfId="1895" xr:uid="{00000000-0005-0000-0000-000060060000}"/>
    <cellStyle name="Accent1 3" xfId="1896" xr:uid="{00000000-0005-0000-0000-000061060000}"/>
    <cellStyle name="Accent1 4" xfId="1897" xr:uid="{00000000-0005-0000-0000-000062060000}"/>
    <cellStyle name="Accent1 5" xfId="1898" xr:uid="{00000000-0005-0000-0000-000063060000}"/>
    <cellStyle name="Accent2" xfId="1528" xr:uid="{00000000-0005-0000-0000-000064060000}"/>
    <cellStyle name="Accent2 - 20%" xfId="1529" xr:uid="{00000000-0005-0000-0000-000065060000}"/>
    <cellStyle name="Accent2 - 20% 2" xfId="2061" xr:uid="{00000000-0005-0000-0000-000066060000}"/>
    <cellStyle name="Accent2 - 20% 2 2" xfId="2062" xr:uid="{00000000-0005-0000-0000-000067060000}"/>
    <cellStyle name="Accent2 - 20% 2 3" xfId="2063" xr:uid="{00000000-0005-0000-0000-000068060000}"/>
    <cellStyle name="Accent2 - 20% 3" xfId="2064" xr:uid="{00000000-0005-0000-0000-000069060000}"/>
    <cellStyle name="Accent2 - 40%" xfId="1530" xr:uid="{00000000-0005-0000-0000-00006A060000}"/>
    <cellStyle name="Accent2 - 40% 2" xfId="2065" xr:uid="{00000000-0005-0000-0000-00006B060000}"/>
    <cellStyle name="Accent2 - 40% 2 2" xfId="2066" xr:uid="{00000000-0005-0000-0000-00006C060000}"/>
    <cellStyle name="Accent2 - 40% 2 3" xfId="2067" xr:uid="{00000000-0005-0000-0000-00006D060000}"/>
    <cellStyle name="Accent2 - 40% 3" xfId="2068" xr:uid="{00000000-0005-0000-0000-00006E060000}"/>
    <cellStyle name="Accent2 - 60%" xfId="1531" xr:uid="{00000000-0005-0000-0000-00006F060000}"/>
    <cellStyle name="Accent2 - 60% 2" xfId="2069" xr:uid="{00000000-0005-0000-0000-000070060000}"/>
    <cellStyle name="Accent2 - 60% 2 2" xfId="2070" xr:uid="{00000000-0005-0000-0000-000071060000}"/>
    <cellStyle name="Accent2 - 60% 2 3" xfId="2071" xr:uid="{00000000-0005-0000-0000-000072060000}"/>
    <cellStyle name="Accent2 - 60% 3" xfId="2072" xr:uid="{00000000-0005-0000-0000-000073060000}"/>
    <cellStyle name="Accent2 2" xfId="1899" xr:uid="{00000000-0005-0000-0000-000074060000}"/>
    <cellStyle name="Accent2 3" xfId="1900" xr:uid="{00000000-0005-0000-0000-000075060000}"/>
    <cellStyle name="Accent2 4" xfId="1901" xr:uid="{00000000-0005-0000-0000-000076060000}"/>
    <cellStyle name="Accent2 5" xfId="1902" xr:uid="{00000000-0005-0000-0000-000077060000}"/>
    <cellStyle name="Accent3" xfId="1532" xr:uid="{00000000-0005-0000-0000-000078060000}"/>
    <cellStyle name="Accent3 - 20%" xfId="1533" xr:uid="{00000000-0005-0000-0000-000079060000}"/>
    <cellStyle name="Accent3 - 20% 2" xfId="2073" xr:uid="{00000000-0005-0000-0000-00007A060000}"/>
    <cellStyle name="Accent3 - 20% 2 2" xfId="2074" xr:uid="{00000000-0005-0000-0000-00007B060000}"/>
    <cellStyle name="Accent3 - 20% 2 3" xfId="2075" xr:uid="{00000000-0005-0000-0000-00007C060000}"/>
    <cellStyle name="Accent3 - 20% 3" xfId="2076" xr:uid="{00000000-0005-0000-0000-00007D060000}"/>
    <cellStyle name="Accent3 - 40%" xfId="1534" xr:uid="{00000000-0005-0000-0000-00007E060000}"/>
    <cellStyle name="Accent3 - 40% 2" xfId="2077" xr:uid="{00000000-0005-0000-0000-00007F060000}"/>
    <cellStyle name="Accent3 - 40% 2 2" xfId="2078" xr:uid="{00000000-0005-0000-0000-000080060000}"/>
    <cellStyle name="Accent3 - 40% 2 3" xfId="2079" xr:uid="{00000000-0005-0000-0000-000081060000}"/>
    <cellStyle name="Accent3 - 40% 3" xfId="2080" xr:uid="{00000000-0005-0000-0000-000082060000}"/>
    <cellStyle name="Accent3 - 60%" xfId="1535" xr:uid="{00000000-0005-0000-0000-000083060000}"/>
    <cellStyle name="Accent3 - 60% 2" xfId="2081" xr:uid="{00000000-0005-0000-0000-000084060000}"/>
    <cellStyle name="Accent3 - 60% 2 2" xfId="2082" xr:uid="{00000000-0005-0000-0000-000085060000}"/>
    <cellStyle name="Accent3 - 60% 2 3" xfId="2083" xr:uid="{00000000-0005-0000-0000-000086060000}"/>
    <cellStyle name="Accent3 - 60% 3" xfId="2084" xr:uid="{00000000-0005-0000-0000-000087060000}"/>
    <cellStyle name="Accent3 2" xfId="1903" xr:uid="{00000000-0005-0000-0000-000088060000}"/>
    <cellStyle name="Accent3 3" xfId="1904" xr:uid="{00000000-0005-0000-0000-000089060000}"/>
    <cellStyle name="Accent3 4" xfId="1905" xr:uid="{00000000-0005-0000-0000-00008A060000}"/>
    <cellStyle name="Accent3 5" xfId="1906" xr:uid="{00000000-0005-0000-0000-00008B060000}"/>
    <cellStyle name="Accent3 6" xfId="2085" xr:uid="{00000000-0005-0000-0000-00008C060000}"/>
    <cellStyle name="Accent3_5.05 b" xfId="1536" xr:uid="{00000000-0005-0000-0000-00008D060000}"/>
    <cellStyle name="Accent4" xfId="1537" xr:uid="{00000000-0005-0000-0000-00008E060000}"/>
    <cellStyle name="Accent4 - 20%" xfId="1538" xr:uid="{00000000-0005-0000-0000-00008F060000}"/>
    <cellStyle name="Accent4 - 20% 2" xfId="2086" xr:uid="{00000000-0005-0000-0000-000090060000}"/>
    <cellStyle name="Accent4 - 20% 2 2" xfId="2087" xr:uid="{00000000-0005-0000-0000-000091060000}"/>
    <cellStyle name="Accent4 - 20% 2 3" xfId="2088" xr:uid="{00000000-0005-0000-0000-000092060000}"/>
    <cellStyle name="Accent4 - 20% 3" xfId="2089" xr:uid="{00000000-0005-0000-0000-000093060000}"/>
    <cellStyle name="Accent4 - 40%" xfId="1539" xr:uid="{00000000-0005-0000-0000-000094060000}"/>
    <cellStyle name="Accent4 - 40% 2" xfId="2090" xr:uid="{00000000-0005-0000-0000-000095060000}"/>
    <cellStyle name="Accent4 - 40% 2 2" xfId="2091" xr:uid="{00000000-0005-0000-0000-000096060000}"/>
    <cellStyle name="Accent4 - 40% 2 3" xfId="2092" xr:uid="{00000000-0005-0000-0000-000097060000}"/>
    <cellStyle name="Accent4 - 40% 3" xfId="2093" xr:uid="{00000000-0005-0000-0000-000098060000}"/>
    <cellStyle name="Accent4 - 60%" xfId="1540" xr:uid="{00000000-0005-0000-0000-000099060000}"/>
    <cellStyle name="Accent4 - 60% 2" xfId="2094" xr:uid="{00000000-0005-0000-0000-00009A060000}"/>
    <cellStyle name="Accent4 - 60% 2 2" xfId="2095" xr:uid="{00000000-0005-0000-0000-00009B060000}"/>
    <cellStyle name="Accent4 - 60% 2 3" xfId="2096" xr:uid="{00000000-0005-0000-0000-00009C060000}"/>
    <cellStyle name="Accent4 - 60% 3" xfId="2097" xr:uid="{00000000-0005-0000-0000-00009D060000}"/>
    <cellStyle name="Accent4 2" xfId="1907" xr:uid="{00000000-0005-0000-0000-00009E060000}"/>
    <cellStyle name="Accent4 3" xfId="1908" xr:uid="{00000000-0005-0000-0000-00009F060000}"/>
    <cellStyle name="Accent4 4" xfId="1909" xr:uid="{00000000-0005-0000-0000-0000A0060000}"/>
    <cellStyle name="Accent4 5" xfId="1910" xr:uid="{00000000-0005-0000-0000-0000A1060000}"/>
    <cellStyle name="Accent4 6" xfId="2098" xr:uid="{00000000-0005-0000-0000-0000A2060000}"/>
    <cellStyle name="Accent4_5.05 b" xfId="1541" xr:uid="{00000000-0005-0000-0000-0000A3060000}"/>
    <cellStyle name="Accent5" xfId="1542" xr:uid="{00000000-0005-0000-0000-0000A4060000}"/>
    <cellStyle name="Accent5 - 20%" xfId="1543" xr:uid="{00000000-0005-0000-0000-0000A5060000}"/>
    <cellStyle name="Accent5 - 20% 2" xfId="2099" xr:uid="{00000000-0005-0000-0000-0000A6060000}"/>
    <cellStyle name="Accent5 - 20% 2 2" xfId="2100" xr:uid="{00000000-0005-0000-0000-0000A7060000}"/>
    <cellStyle name="Accent5 - 20% 2 3" xfId="2101" xr:uid="{00000000-0005-0000-0000-0000A8060000}"/>
    <cellStyle name="Accent5 - 20% 3" xfId="2102" xr:uid="{00000000-0005-0000-0000-0000A9060000}"/>
    <cellStyle name="Accent5 - 40%" xfId="1544" xr:uid="{00000000-0005-0000-0000-0000AA060000}"/>
    <cellStyle name="Accent5 - 60%" xfId="1545" xr:uid="{00000000-0005-0000-0000-0000AB060000}"/>
    <cellStyle name="Accent5 - 60% 2" xfId="2103" xr:uid="{00000000-0005-0000-0000-0000AC060000}"/>
    <cellStyle name="Accent5 - 60% 2 2" xfId="2104" xr:uid="{00000000-0005-0000-0000-0000AD060000}"/>
    <cellStyle name="Accent5 - 60% 2 3" xfId="2105" xr:uid="{00000000-0005-0000-0000-0000AE060000}"/>
    <cellStyle name="Accent5 - 60% 3" xfId="2106" xr:uid="{00000000-0005-0000-0000-0000AF060000}"/>
    <cellStyle name="Accent5 2" xfId="1911" xr:uid="{00000000-0005-0000-0000-0000B0060000}"/>
    <cellStyle name="Accent5 3" xfId="1912" xr:uid="{00000000-0005-0000-0000-0000B1060000}"/>
    <cellStyle name="Accent5 4" xfId="1913" xr:uid="{00000000-0005-0000-0000-0000B2060000}"/>
    <cellStyle name="Accent5 5" xfId="1914" xr:uid="{00000000-0005-0000-0000-0000B3060000}"/>
    <cellStyle name="Accent5 6" xfId="2107" xr:uid="{00000000-0005-0000-0000-0000B4060000}"/>
    <cellStyle name="Accent5_5.05 b" xfId="1546" xr:uid="{00000000-0005-0000-0000-0000B5060000}"/>
    <cellStyle name="Accent6" xfId="1547" xr:uid="{00000000-0005-0000-0000-0000B6060000}"/>
    <cellStyle name="Accent6 - 20%" xfId="1548" xr:uid="{00000000-0005-0000-0000-0000B7060000}"/>
    <cellStyle name="Accent6 - 40%" xfId="1549" xr:uid="{00000000-0005-0000-0000-0000B8060000}"/>
    <cellStyle name="Accent6 - 40% 2" xfId="2108" xr:uid="{00000000-0005-0000-0000-0000B9060000}"/>
    <cellStyle name="Accent6 - 40% 2 2" xfId="2109" xr:uid="{00000000-0005-0000-0000-0000BA060000}"/>
    <cellStyle name="Accent6 - 40% 2 3" xfId="2110" xr:uid="{00000000-0005-0000-0000-0000BB060000}"/>
    <cellStyle name="Accent6 - 40% 3" xfId="2111" xr:uid="{00000000-0005-0000-0000-0000BC060000}"/>
    <cellStyle name="Accent6 - 60%" xfId="1550" xr:uid="{00000000-0005-0000-0000-0000BD060000}"/>
    <cellStyle name="Accent6 - 60% 2" xfId="2112" xr:uid="{00000000-0005-0000-0000-0000BE060000}"/>
    <cellStyle name="Accent6 - 60% 2 2" xfId="2113" xr:uid="{00000000-0005-0000-0000-0000BF060000}"/>
    <cellStyle name="Accent6 - 60% 2 3" xfId="2114" xr:uid="{00000000-0005-0000-0000-0000C0060000}"/>
    <cellStyle name="Accent6 - 60% 3" xfId="2115" xr:uid="{00000000-0005-0000-0000-0000C1060000}"/>
    <cellStyle name="Accent6 2" xfId="1915" xr:uid="{00000000-0005-0000-0000-0000C2060000}"/>
    <cellStyle name="Accent6 3" xfId="1916" xr:uid="{00000000-0005-0000-0000-0000C3060000}"/>
    <cellStyle name="Accent6 4" xfId="1917" xr:uid="{00000000-0005-0000-0000-0000C4060000}"/>
    <cellStyle name="Accent6 5" xfId="1918" xr:uid="{00000000-0005-0000-0000-0000C5060000}"/>
    <cellStyle name="Accent6 6" xfId="2116" xr:uid="{00000000-0005-0000-0000-0000C6060000}"/>
    <cellStyle name="Accent6_5.05 b" xfId="1551" xr:uid="{00000000-0005-0000-0000-0000C7060000}"/>
    <cellStyle name="Bad" xfId="1552" xr:uid="{00000000-0005-0000-0000-0000C8060000}"/>
    <cellStyle name="Bad 2" xfId="1919" xr:uid="{00000000-0005-0000-0000-0000C9060000}"/>
    <cellStyle name="Bad 3" xfId="1920" xr:uid="{00000000-0005-0000-0000-0000CA060000}"/>
    <cellStyle name="Bad 4" xfId="2117" xr:uid="{00000000-0005-0000-0000-0000CB060000}"/>
    <cellStyle name="Blank.Testo" xfId="1553" xr:uid="{00000000-0005-0000-0000-0000CC060000}"/>
    <cellStyle name="Buena" xfId="1554" xr:uid="{00000000-0005-0000-0000-0000CD060000}"/>
    <cellStyle name="Buena 2" xfId="1555" xr:uid="{00000000-0005-0000-0000-0000CE060000}"/>
    <cellStyle name="Buena_20081202 - Denmark" xfId="1556" xr:uid="{00000000-0005-0000-0000-0000CF060000}"/>
    <cellStyle name="Calc Currency (0)" xfId="1557" xr:uid="{00000000-0005-0000-0000-0000D0060000}"/>
    <cellStyle name="Calc Currency (2)" xfId="1558" xr:uid="{00000000-0005-0000-0000-0000D1060000}"/>
    <cellStyle name="Calc Percent (0)" xfId="1559" xr:uid="{00000000-0005-0000-0000-0000D2060000}"/>
    <cellStyle name="Calc Percent (1)" xfId="1560" xr:uid="{00000000-0005-0000-0000-0000D3060000}"/>
    <cellStyle name="Calc Percent (2)" xfId="1561" xr:uid="{00000000-0005-0000-0000-0000D4060000}"/>
    <cellStyle name="Calc Units (0)" xfId="1562" xr:uid="{00000000-0005-0000-0000-0000D5060000}"/>
    <cellStyle name="Calc Units (1)" xfId="1563" xr:uid="{00000000-0005-0000-0000-0000D6060000}"/>
    <cellStyle name="Calc Units (2)" xfId="1564" xr:uid="{00000000-0005-0000-0000-0000D7060000}"/>
    <cellStyle name="Calcolo 2" xfId="1565" xr:uid="{00000000-0005-0000-0000-0000D8060000}"/>
    <cellStyle name="Calcolo 3" xfId="1846" xr:uid="{00000000-0005-0000-0000-0000D9060000}"/>
    <cellStyle name="Calculation" xfId="1566" xr:uid="{00000000-0005-0000-0000-0000DA060000}"/>
    <cellStyle name="Calculation 2" xfId="1921" xr:uid="{00000000-0005-0000-0000-0000DB060000}"/>
    <cellStyle name="Calculation 3" xfId="1922" xr:uid="{00000000-0005-0000-0000-0000DC060000}"/>
    <cellStyle name="Calculation 4" xfId="2118" xr:uid="{00000000-0005-0000-0000-0000DD060000}"/>
    <cellStyle name="Cálculo" xfId="1567" xr:uid="{00000000-0005-0000-0000-0000DE060000}"/>
    <cellStyle name="Cálculo 2" xfId="1568" xr:uid="{00000000-0005-0000-0000-0000DF060000}"/>
    <cellStyle name="Cálculo_20081202 - Denmark" xfId="1569" xr:uid="{00000000-0005-0000-0000-0000E0060000}"/>
    <cellStyle name="Celda de comprobación" xfId="1570" xr:uid="{00000000-0005-0000-0000-0000E1060000}"/>
    <cellStyle name="Celda de comprobación 2" xfId="1571" xr:uid="{00000000-0005-0000-0000-0000E2060000}"/>
    <cellStyle name="Celda de comprobación_20081202 - Denmark" xfId="1572" xr:uid="{00000000-0005-0000-0000-0000E3060000}"/>
    <cellStyle name="Celda vinculada" xfId="1573" xr:uid="{00000000-0005-0000-0000-0000E4060000}"/>
    <cellStyle name="Cella collegata 2" xfId="1574" xr:uid="{00000000-0005-0000-0000-0000E5060000}"/>
    <cellStyle name="Cella collegata 3" xfId="1847" xr:uid="{00000000-0005-0000-0000-0000E6060000}"/>
    <cellStyle name="Cella da controllare 2" xfId="1575" xr:uid="{00000000-0005-0000-0000-0000E7060000}"/>
    <cellStyle name="Cella da controllare 3" xfId="1848" xr:uid="{00000000-0005-0000-0000-0000E8060000}"/>
    <cellStyle name="Check Cell" xfId="1576" xr:uid="{00000000-0005-0000-0000-0000E9060000}"/>
    <cellStyle name="Check Cell 2" xfId="1923" xr:uid="{00000000-0005-0000-0000-0000EA060000}"/>
    <cellStyle name="Check Cell 3" xfId="1924" xr:uid="{00000000-0005-0000-0000-0000EB060000}"/>
    <cellStyle name="Check Cell 4" xfId="2119" xr:uid="{00000000-0005-0000-0000-0000EC060000}"/>
    <cellStyle name="Colore 1 2" xfId="1577" xr:uid="{00000000-0005-0000-0000-0000ED060000}"/>
    <cellStyle name="Colore 1 3" xfId="1849" xr:uid="{00000000-0005-0000-0000-0000EE060000}"/>
    <cellStyle name="Colore 2 2" xfId="1578" xr:uid="{00000000-0005-0000-0000-0000EF060000}"/>
    <cellStyle name="Colore 2 3" xfId="1850" xr:uid="{00000000-0005-0000-0000-0000F0060000}"/>
    <cellStyle name="Colore 3 2" xfId="1579" xr:uid="{00000000-0005-0000-0000-0000F1060000}"/>
    <cellStyle name="Colore 3 3" xfId="1851" xr:uid="{00000000-0005-0000-0000-0000F2060000}"/>
    <cellStyle name="Colore 4 2" xfId="1580" xr:uid="{00000000-0005-0000-0000-0000F3060000}"/>
    <cellStyle name="Colore 4 3" xfId="1852" xr:uid="{00000000-0005-0000-0000-0000F4060000}"/>
    <cellStyle name="Colore 5 2" xfId="1581" xr:uid="{00000000-0005-0000-0000-0000F5060000}"/>
    <cellStyle name="Colore 5 3" xfId="1853" xr:uid="{00000000-0005-0000-0000-0000F6060000}"/>
    <cellStyle name="Colore 6 2" xfId="1582" xr:uid="{00000000-0005-0000-0000-0000F7060000}"/>
    <cellStyle name="Colore 6 3" xfId="1854" xr:uid="{00000000-0005-0000-0000-0000F8060000}"/>
    <cellStyle name="CombinedVol_Data" xfId="1925" xr:uid="{00000000-0005-0000-0000-0000F9060000}"/>
    <cellStyle name="Comma  - Style1" xfId="1583" xr:uid="{00000000-0005-0000-0000-0000FA060000}"/>
    <cellStyle name="Comma  - Style2" xfId="1584" xr:uid="{00000000-0005-0000-0000-0000FB060000}"/>
    <cellStyle name="Comma  - Style3" xfId="1585" xr:uid="{00000000-0005-0000-0000-0000FC060000}"/>
    <cellStyle name="Comma  - Style4" xfId="1586" xr:uid="{00000000-0005-0000-0000-0000FD060000}"/>
    <cellStyle name="Comma  - Style5" xfId="1587" xr:uid="{00000000-0005-0000-0000-0000FE060000}"/>
    <cellStyle name="Comma  - Style6" xfId="1588" xr:uid="{00000000-0005-0000-0000-0000FF060000}"/>
    <cellStyle name="Comma  - Style7" xfId="1589" xr:uid="{00000000-0005-0000-0000-000000070000}"/>
    <cellStyle name="Comma  - Style8" xfId="1590" xr:uid="{00000000-0005-0000-0000-000001070000}"/>
    <cellStyle name="Comma [0]_#6 Temps &amp; Contractors" xfId="1591" xr:uid="{00000000-0005-0000-0000-000002070000}"/>
    <cellStyle name="Comma [00]" xfId="1592" xr:uid="{00000000-0005-0000-0000-000003070000}"/>
    <cellStyle name="Comma 2" xfId="1875" xr:uid="{00000000-0005-0000-0000-000004070000}"/>
    <cellStyle name="Comma 2 2" xfId="1926" xr:uid="{00000000-0005-0000-0000-000005070000}"/>
    <cellStyle name="Comma 3" xfId="1927" xr:uid="{00000000-0005-0000-0000-000006070000}"/>
    <cellStyle name="Comma, 1 dec" xfId="1928" xr:uid="{00000000-0005-0000-0000-000007070000}"/>
    <cellStyle name="Comma_#6 Temps &amp; Contractors" xfId="1593" xr:uid="{00000000-0005-0000-0000-000008070000}"/>
    <cellStyle name="Currency [0]_#6 Temps &amp; Contractors" xfId="1594" xr:uid="{00000000-0005-0000-0000-000009070000}"/>
    <cellStyle name="Currency [00]" xfId="1595" xr:uid="{00000000-0005-0000-0000-00000A070000}"/>
    <cellStyle name="Currency_#6 Temps &amp; Contractors" xfId="1596" xr:uid="{00000000-0005-0000-0000-00000B070000}"/>
    <cellStyle name="Data" xfId="1597" xr:uid="{00000000-0005-0000-0000-00000C070000}"/>
    <cellStyle name="date" xfId="1929" xr:uid="{00000000-0005-0000-0000-00000D070000}"/>
    <cellStyle name="Date Short" xfId="1598" xr:uid="{00000000-0005-0000-0000-00000E070000}"/>
    <cellStyle name="Dezimal [0]_VERA" xfId="1599" xr:uid="{00000000-0005-0000-0000-00000F070000}"/>
    <cellStyle name="Dezimal_VERA" xfId="1600" xr:uid="{00000000-0005-0000-0000-000010070000}"/>
    <cellStyle name="Edited_Data" xfId="1930" xr:uid="{00000000-0005-0000-0000-000011070000}"/>
    <cellStyle name="Emphasis 1" xfId="1601" xr:uid="{00000000-0005-0000-0000-000012070000}"/>
    <cellStyle name="Emphasis 1 2" xfId="2120" xr:uid="{00000000-0005-0000-0000-000013070000}"/>
    <cellStyle name="Emphasis 1 2 2" xfId="2121" xr:uid="{00000000-0005-0000-0000-000014070000}"/>
    <cellStyle name="Emphasis 1 2 3" xfId="2122" xr:uid="{00000000-0005-0000-0000-000015070000}"/>
    <cellStyle name="Emphasis 1 3" xfId="2123" xr:uid="{00000000-0005-0000-0000-000016070000}"/>
    <cellStyle name="Emphasis 2" xfId="1602" xr:uid="{00000000-0005-0000-0000-000017070000}"/>
    <cellStyle name="Emphasis 2 2" xfId="2124" xr:uid="{00000000-0005-0000-0000-000018070000}"/>
    <cellStyle name="Emphasis 2 2 2" xfId="2125" xr:uid="{00000000-0005-0000-0000-000019070000}"/>
    <cellStyle name="Emphasis 2 2 3" xfId="2126" xr:uid="{00000000-0005-0000-0000-00001A070000}"/>
    <cellStyle name="Emphasis 2 3" xfId="2127" xr:uid="{00000000-0005-0000-0000-00001B070000}"/>
    <cellStyle name="Emphasis 3" xfId="1603" xr:uid="{00000000-0005-0000-0000-00001C070000}"/>
    <cellStyle name="Encabezado 4" xfId="1604" xr:uid="{00000000-0005-0000-0000-00001D070000}"/>
    <cellStyle name="Énfasis 1" xfId="1605" xr:uid="{00000000-0005-0000-0000-00001E070000}"/>
    <cellStyle name="Énfasis 2" xfId="1606" xr:uid="{00000000-0005-0000-0000-00001F070000}"/>
    <cellStyle name="Énfasis 3" xfId="1607" xr:uid="{00000000-0005-0000-0000-000020070000}"/>
    <cellStyle name="Énfasis1" xfId="1608" xr:uid="{00000000-0005-0000-0000-000021070000}"/>
    <cellStyle name="Énfasis1 - 20%" xfId="1609" xr:uid="{00000000-0005-0000-0000-000022070000}"/>
    <cellStyle name="Énfasis1 - 40%" xfId="1610" xr:uid="{00000000-0005-0000-0000-000023070000}"/>
    <cellStyle name="Énfasis1 - 60%" xfId="1611" xr:uid="{00000000-0005-0000-0000-000024070000}"/>
    <cellStyle name="Énfasis1 2" xfId="1612" xr:uid="{00000000-0005-0000-0000-000025070000}"/>
    <cellStyle name="Énfasis1_20081202 - Denmark" xfId="1613" xr:uid="{00000000-0005-0000-0000-000026070000}"/>
    <cellStyle name="Énfasis2" xfId="1614" xr:uid="{00000000-0005-0000-0000-000027070000}"/>
    <cellStyle name="Énfasis2 - 20%" xfId="1615" xr:uid="{00000000-0005-0000-0000-000028070000}"/>
    <cellStyle name="Énfasis2 - 40%" xfId="1616" xr:uid="{00000000-0005-0000-0000-000029070000}"/>
    <cellStyle name="Énfasis2 - 60%" xfId="1617" xr:uid="{00000000-0005-0000-0000-00002A070000}"/>
    <cellStyle name="Énfasis2 2" xfId="1618" xr:uid="{00000000-0005-0000-0000-00002B070000}"/>
    <cellStyle name="Énfasis2_20081202 - Denmark" xfId="1619" xr:uid="{00000000-0005-0000-0000-00002C070000}"/>
    <cellStyle name="Énfasis3" xfId="1620" xr:uid="{00000000-0005-0000-0000-00002D070000}"/>
    <cellStyle name="Énfasis3 - 20%" xfId="1621" xr:uid="{00000000-0005-0000-0000-00002E070000}"/>
    <cellStyle name="Énfasis3 - 40%" xfId="1622" xr:uid="{00000000-0005-0000-0000-00002F070000}"/>
    <cellStyle name="Énfasis3 - 60%" xfId="1623" xr:uid="{00000000-0005-0000-0000-000030070000}"/>
    <cellStyle name="Énfasis3 2" xfId="1624" xr:uid="{00000000-0005-0000-0000-000031070000}"/>
    <cellStyle name="Énfasis3_20081202 - Denmark" xfId="1625" xr:uid="{00000000-0005-0000-0000-000032070000}"/>
    <cellStyle name="Énfasis4" xfId="1626" xr:uid="{00000000-0005-0000-0000-000033070000}"/>
    <cellStyle name="Énfasis4 - 20%" xfId="1627" xr:uid="{00000000-0005-0000-0000-000034070000}"/>
    <cellStyle name="Énfasis4 - 40%" xfId="1628" xr:uid="{00000000-0005-0000-0000-000035070000}"/>
    <cellStyle name="Énfasis4 - 60%" xfId="1629" xr:uid="{00000000-0005-0000-0000-000036070000}"/>
    <cellStyle name="Énfasis4 2" xfId="1630" xr:uid="{00000000-0005-0000-0000-000037070000}"/>
    <cellStyle name="Énfasis4_20081202 - Denmark" xfId="1631" xr:uid="{00000000-0005-0000-0000-000038070000}"/>
    <cellStyle name="Énfasis5" xfId="1632" xr:uid="{00000000-0005-0000-0000-000039070000}"/>
    <cellStyle name="Énfasis5 - 20%" xfId="1633" xr:uid="{00000000-0005-0000-0000-00003A070000}"/>
    <cellStyle name="Énfasis5 - 40%" xfId="1634" xr:uid="{00000000-0005-0000-0000-00003B070000}"/>
    <cellStyle name="Énfasis5 - 60%" xfId="1635" xr:uid="{00000000-0005-0000-0000-00003C070000}"/>
    <cellStyle name="Énfasis5 2" xfId="1636" xr:uid="{00000000-0005-0000-0000-00003D070000}"/>
    <cellStyle name="Énfasis5_20081202 - Denmark" xfId="1637" xr:uid="{00000000-0005-0000-0000-00003E070000}"/>
    <cellStyle name="Énfasis6" xfId="1638" xr:uid="{00000000-0005-0000-0000-00003F070000}"/>
    <cellStyle name="Énfasis6 - 20%" xfId="1639" xr:uid="{00000000-0005-0000-0000-000040070000}"/>
    <cellStyle name="Énfasis6 - 40%" xfId="1640" xr:uid="{00000000-0005-0000-0000-000041070000}"/>
    <cellStyle name="Énfasis6 - 60%" xfId="1641" xr:uid="{00000000-0005-0000-0000-000042070000}"/>
    <cellStyle name="Énfasis6 2" xfId="1642" xr:uid="{00000000-0005-0000-0000-000043070000}"/>
    <cellStyle name="Énfasis6_20081202 - Denmark" xfId="1643" xr:uid="{00000000-0005-0000-0000-000044070000}"/>
    <cellStyle name="Enter Currency (0)" xfId="1644" xr:uid="{00000000-0005-0000-0000-000045070000}"/>
    <cellStyle name="Enter Currency (2)" xfId="1645" xr:uid="{00000000-0005-0000-0000-000046070000}"/>
    <cellStyle name="Enter Units (0)" xfId="1646" xr:uid="{00000000-0005-0000-0000-000047070000}"/>
    <cellStyle name="Enter Units (1)" xfId="1647" xr:uid="{00000000-0005-0000-0000-000048070000}"/>
    <cellStyle name="Enter Units (2)" xfId="1648" xr:uid="{00000000-0005-0000-0000-000049070000}"/>
    <cellStyle name="Entrada" xfId="1649" xr:uid="{00000000-0005-0000-0000-00004A070000}"/>
    <cellStyle name="Entrada 2" xfId="1650" xr:uid="{00000000-0005-0000-0000-00004B070000}"/>
    <cellStyle name="Entrada_20081202 - Denmark" xfId="1651" xr:uid="{00000000-0005-0000-0000-00004C070000}"/>
    <cellStyle name="Estimated_Data" xfId="1931" xr:uid="{00000000-0005-0000-0000-00004D070000}"/>
    <cellStyle name="Euro" xfId="1652" xr:uid="{00000000-0005-0000-0000-00004E070000}"/>
    <cellStyle name="Explanatory Text" xfId="2128" xr:uid="{00000000-0005-0000-0000-00004F070000}"/>
    <cellStyle name="Explanatory Text 2" xfId="1932" xr:uid="{00000000-0005-0000-0000-000050070000}"/>
    <cellStyle name="Explanatory Text 3" xfId="2129" xr:uid="{00000000-0005-0000-0000-000051070000}"/>
    <cellStyle name="Forecast_Data" xfId="1933" xr:uid="{00000000-0005-0000-0000-000052070000}"/>
    <cellStyle name="Good" xfId="1653" xr:uid="{00000000-0005-0000-0000-000053070000}"/>
    <cellStyle name="Good 2" xfId="1934" xr:uid="{00000000-0005-0000-0000-000054070000}"/>
    <cellStyle name="Good 3" xfId="1935" xr:uid="{00000000-0005-0000-0000-000055070000}"/>
    <cellStyle name="Good 4" xfId="2130" xr:uid="{00000000-0005-0000-0000-000056070000}"/>
    <cellStyle name="Grey" xfId="1654" xr:uid="{00000000-0005-0000-0000-000057070000}"/>
    <cellStyle name="Grigio.6" xfId="1655" xr:uid="{00000000-0005-0000-0000-000058070000}"/>
    <cellStyle name="Hard number" xfId="1936" xr:uid="{00000000-0005-0000-0000-000059070000}"/>
    <cellStyle name="Header1" xfId="1656" xr:uid="{00000000-0005-0000-0000-00005A070000}"/>
    <cellStyle name="Header2" xfId="1657" xr:uid="{00000000-0005-0000-0000-00005B070000}"/>
    <cellStyle name="Heading 1" xfId="1658" xr:uid="{00000000-0005-0000-0000-00005C070000}"/>
    <cellStyle name="Heading 1 2" xfId="1937" xr:uid="{00000000-0005-0000-0000-00005D070000}"/>
    <cellStyle name="Heading 1 3" xfId="1938" xr:uid="{00000000-0005-0000-0000-00005E070000}"/>
    <cellStyle name="Heading 2" xfId="1659" xr:uid="{00000000-0005-0000-0000-00005F070000}"/>
    <cellStyle name="Heading 2 2" xfId="1939" xr:uid="{00000000-0005-0000-0000-000060070000}"/>
    <cellStyle name="Heading 2 3" xfId="1940" xr:uid="{00000000-0005-0000-0000-000061070000}"/>
    <cellStyle name="Heading 2 4" xfId="2131" xr:uid="{00000000-0005-0000-0000-000062070000}"/>
    <cellStyle name="Heading 3" xfId="1660" xr:uid="{00000000-0005-0000-0000-000063070000}"/>
    <cellStyle name="Heading 3 2" xfId="1941" xr:uid="{00000000-0005-0000-0000-000064070000}"/>
    <cellStyle name="Heading 3 3" xfId="1942" xr:uid="{00000000-0005-0000-0000-000065070000}"/>
    <cellStyle name="Heading 3 4" xfId="2132" xr:uid="{00000000-0005-0000-0000-000066070000}"/>
    <cellStyle name="Heading 4" xfId="1661" xr:uid="{00000000-0005-0000-0000-000067070000}"/>
    <cellStyle name="Heading 4 2" xfId="1943" xr:uid="{00000000-0005-0000-0000-000068070000}"/>
    <cellStyle name="Heading 4 3" xfId="1944" xr:uid="{00000000-0005-0000-0000-000069070000}"/>
    <cellStyle name="Historical" xfId="1945" xr:uid="{00000000-0005-0000-0000-00006A070000}"/>
    <cellStyle name="Hyperlink_VERA" xfId="1662" xr:uid="{00000000-0005-0000-0000-00006B070000}"/>
    <cellStyle name="Incorrecto" xfId="1663" xr:uid="{00000000-0005-0000-0000-00006C070000}"/>
    <cellStyle name="Incorrecto 2" xfId="1664" xr:uid="{00000000-0005-0000-0000-00006D070000}"/>
    <cellStyle name="Incorrecto_20081202 - Denmark" xfId="1665" xr:uid="{00000000-0005-0000-0000-00006E070000}"/>
    <cellStyle name="Input [yellow]" xfId="1666" xr:uid="{00000000-0005-0000-0000-00006F070000}"/>
    <cellStyle name="Input 2" xfId="1667" xr:uid="{00000000-0005-0000-0000-000070070000}"/>
    <cellStyle name="Input 2 2" xfId="2133" xr:uid="{00000000-0005-0000-0000-000071070000}"/>
    <cellStyle name="Input 2 3" xfId="2134" xr:uid="{00000000-0005-0000-0000-000072070000}"/>
    <cellStyle name="Input 3" xfId="1855" xr:uid="{00000000-0005-0000-0000-000073070000}"/>
    <cellStyle name="Input 3 2" xfId="2135" xr:uid="{00000000-0005-0000-0000-000074070000}"/>
    <cellStyle name="Input 3 3" xfId="2136" xr:uid="{00000000-0005-0000-0000-000075070000}"/>
    <cellStyle name="Input 4" xfId="1946" xr:uid="{00000000-0005-0000-0000-000076070000}"/>
    <cellStyle name="Input 4 2" xfId="2137" xr:uid="{00000000-0005-0000-0000-000077070000}"/>
    <cellStyle name="Input 4 3" xfId="2138" xr:uid="{00000000-0005-0000-0000-000078070000}"/>
    <cellStyle name="Intestaz.1" xfId="1668" xr:uid="{00000000-0005-0000-0000-000079070000}"/>
    <cellStyle name="Intestaz.2" xfId="1669" xr:uid="{00000000-0005-0000-0000-00007A070000}"/>
    <cellStyle name="Intestaz.3" xfId="1670" xr:uid="{00000000-0005-0000-0000-00007B070000}"/>
    <cellStyle name="Item_Current" xfId="1947" xr:uid="{00000000-0005-0000-0000-00007C070000}"/>
    <cellStyle name="Link Currency (0)" xfId="1671" xr:uid="{00000000-0005-0000-0000-00007D070000}"/>
    <cellStyle name="Link Currency (2)" xfId="1672" xr:uid="{00000000-0005-0000-0000-00007E070000}"/>
    <cellStyle name="Link Units (0)" xfId="1673" xr:uid="{00000000-0005-0000-0000-00007F070000}"/>
    <cellStyle name="Link Units (1)" xfId="1674" xr:uid="{00000000-0005-0000-0000-000080070000}"/>
    <cellStyle name="Link Units (2)" xfId="1675" xr:uid="{00000000-0005-0000-0000-000081070000}"/>
    <cellStyle name="Linked Cell" xfId="1676" xr:uid="{00000000-0005-0000-0000-000082070000}"/>
    <cellStyle name="Linked Cell 2" xfId="1948" xr:uid="{00000000-0005-0000-0000-000083070000}"/>
    <cellStyle name="Linked Cell 3" xfId="1949" xr:uid="{00000000-0005-0000-0000-000084070000}"/>
    <cellStyle name="Linked Cell 4" xfId="2139" xr:uid="{00000000-0005-0000-0000-000085070000}"/>
    <cellStyle name="Migliaia" xfId="1815" builtinId="3"/>
    <cellStyle name="Migliaia (0)_13759" xfId="1950" xr:uid="{00000000-0005-0000-0000-000087070000}"/>
    <cellStyle name="Migliaia [0]" xfId="2302" builtinId="6"/>
    <cellStyle name="Migliaia [0] 2" xfId="1677" xr:uid="{00000000-0005-0000-0000-000089070000}"/>
    <cellStyle name="Migliaia [0] 2 2" xfId="2140" xr:uid="{00000000-0005-0000-0000-00008A070000}"/>
    <cellStyle name="Migliaia [0] 4" xfId="2306" xr:uid="{703B3024-90B5-469D-AF9D-CB3FE2C63F70}"/>
    <cellStyle name="Migliaia 10" xfId="2141" xr:uid="{00000000-0005-0000-0000-00008B070000}"/>
    <cellStyle name="Migliaia 11" xfId="2305" xr:uid="{00000000-0005-0000-0000-00008C070000}"/>
    <cellStyle name="Migliaia 2" xfId="4" xr:uid="{00000000-0005-0000-0000-00008D070000}"/>
    <cellStyle name="Migliaia 2 2" xfId="1951" xr:uid="{00000000-0005-0000-0000-00008E070000}"/>
    <cellStyle name="Migliaia 2 3" xfId="2142" xr:uid="{00000000-0005-0000-0000-00008F070000}"/>
    <cellStyle name="Migliaia 2 4" xfId="2143" xr:uid="{00000000-0005-0000-0000-000090070000}"/>
    <cellStyle name="Migliaia 3" xfId="1856" xr:uid="{00000000-0005-0000-0000-000091070000}"/>
    <cellStyle name="Migliaia 3 2" xfId="2144" xr:uid="{00000000-0005-0000-0000-000092070000}"/>
    <cellStyle name="Migliaia 3 3" xfId="2145" xr:uid="{00000000-0005-0000-0000-000093070000}"/>
    <cellStyle name="Migliaia 4" xfId="1952" xr:uid="{00000000-0005-0000-0000-000094070000}"/>
    <cellStyle name="Migliaia 5" xfId="1953" xr:uid="{00000000-0005-0000-0000-000095070000}"/>
    <cellStyle name="Migliaia 6" xfId="2146" xr:uid="{00000000-0005-0000-0000-000096070000}"/>
    <cellStyle name="Migliaia 7" xfId="2147" xr:uid="{00000000-0005-0000-0000-000097070000}"/>
    <cellStyle name="Migliaia 8" xfId="2148" xr:uid="{00000000-0005-0000-0000-000098070000}"/>
    <cellStyle name="Migliaia 9" xfId="2149" xr:uid="{00000000-0005-0000-0000-000099070000}"/>
    <cellStyle name="Millares [0] 2" xfId="1678" xr:uid="{00000000-0005-0000-0000-00009A070000}"/>
    <cellStyle name="Millares [0] 3" xfId="1679" xr:uid="{00000000-0005-0000-0000-00009B070000}"/>
    <cellStyle name="Millares [0]_Balance" xfId="5" xr:uid="{00000000-0005-0000-0000-00009C070000}"/>
    <cellStyle name="Millares 2" xfId="1680" xr:uid="{00000000-0005-0000-0000-00009D070000}"/>
    <cellStyle name="Millares 3" xfId="1681" xr:uid="{00000000-0005-0000-0000-00009E070000}"/>
    <cellStyle name="Millares 4" xfId="1682" xr:uid="{00000000-0005-0000-0000-00009F070000}"/>
    <cellStyle name="Millares_Balance" xfId="6" xr:uid="{00000000-0005-0000-0000-0000A0070000}"/>
    <cellStyle name="Milliers [0]_Commentaires" xfId="1954" xr:uid="{00000000-0005-0000-0000-0000A1070000}"/>
    <cellStyle name="Milliers_Commentaires" xfId="1955" xr:uid="{00000000-0005-0000-0000-0000A2070000}"/>
    <cellStyle name="Moneda [0]_Balance" xfId="7" xr:uid="{00000000-0005-0000-0000-0000A3070000}"/>
    <cellStyle name="Moneda_Balance" xfId="8" xr:uid="{00000000-0005-0000-0000-0000A4070000}"/>
    <cellStyle name="Monétaire [0]_Commentaires" xfId="1956" xr:uid="{00000000-0005-0000-0000-0000A5070000}"/>
    <cellStyle name="Monétaire_Commentaires" xfId="1957" xr:uid="{00000000-0005-0000-0000-0000A6070000}"/>
    <cellStyle name="Neutral" xfId="1683" xr:uid="{00000000-0005-0000-0000-0000A7070000}"/>
    <cellStyle name="Neutral 2" xfId="1684" xr:uid="{00000000-0005-0000-0000-0000A8070000}"/>
    <cellStyle name="Neutral 3" xfId="1958" xr:uid="{00000000-0005-0000-0000-0000A9070000}"/>
    <cellStyle name="Neutral 4" xfId="2150" xr:uid="{00000000-0005-0000-0000-0000AA070000}"/>
    <cellStyle name="Neutral_20081202 - Denmark" xfId="1685" xr:uid="{00000000-0005-0000-0000-0000AB070000}"/>
    <cellStyle name="Neutrale 2" xfId="1686" xr:uid="{00000000-0005-0000-0000-0000AC070000}"/>
    <cellStyle name="Neutrale 3" xfId="1857" xr:uid="{00000000-0005-0000-0000-0000AD070000}"/>
    <cellStyle name="Normal - Style1" xfId="1687" xr:uid="{00000000-0005-0000-0000-0000AE070000}"/>
    <cellStyle name="Normal 2" xfId="1688" xr:uid="{00000000-0005-0000-0000-0000AF070000}"/>
    <cellStyle name="Normal 2 2" xfId="1959" xr:uid="{00000000-0005-0000-0000-0000B0070000}"/>
    <cellStyle name="Normal 2 3" xfId="1874" xr:uid="{00000000-0005-0000-0000-0000B1070000}"/>
    <cellStyle name="Normal 3" xfId="1689" xr:uid="{00000000-0005-0000-0000-0000B2070000}"/>
    <cellStyle name="Normal_K2 January 2009" xfId="1690" xr:uid="{00000000-0005-0000-0000-0000B3070000}"/>
    <cellStyle name="Normale" xfId="0" builtinId="0"/>
    <cellStyle name="Normale 10" xfId="1858" xr:uid="{00000000-0005-0000-0000-0000B5070000}"/>
    <cellStyle name="Normale 11" xfId="2151" xr:uid="{00000000-0005-0000-0000-0000B6070000}"/>
    <cellStyle name="Normale 11 2" xfId="2152" xr:uid="{00000000-0005-0000-0000-0000B7070000}"/>
    <cellStyle name="Normale 12" xfId="1691" xr:uid="{00000000-0005-0000-0000-0000B8070000}"/>
    <cellStyle name="Normale 13" xfId="2153" xr:uid="{00000000-0005-0000-0000-0000B9070000}"/>
    <cellStyle name="Normale 14" xfId="1692" xr:uid="{00000000-0005-0000-0000-0000BA070000}"/>
    <cellStyle name="Normale 15" xfId="1693" xr:uid="{00000000-0005-0000-0000-0000BB070000}"/>
    <cellStyle name="Normale 16" xfId="1694" xr:uid="{00000000-0005-0000-0000-0000BC070000}"/>
    <cellStyle name="Normale 17" xfId="2303" xr:uid="{00000000-0005-0000-0000-0000BD070000}"/>
    <cellStyle name="Normale 19" xfId="2154" xr:uid="{00000000-0005-0000-0000-0000BE070000}"/>
    <cellStyle name="Normale 2" xfId="3" xr:uid="{00000000-0005-0000-0000-0000BF070000}"/>
    <cellStyle name="Normale 2 2" xfId="1873" xr:uid="{00000000-0005-0000-0000-0000C0070000}"/>
    <cellStyle name="Normale 2 2 2" xfId="2155" xr:uid="{00000000-0005-0000-0000-0000C1070000}"/>
    <cellStyle name="Normale 3" xfId="9" xr:uid="{00000000-0005-0000-0000-0000C2070000}"/>
    <cellStyle name="Normale 4" xfId="1695" xr:uid="{00000000-0005-0000-0000-0000C3070000}"/>
    <cellStyle name="Normale 4 2" xfId="1872" xr:uid="{00000000-0005-0000-0000-0000C4070000}"/>
    <cellStyle name="Normale 4 3" xfId="2156" xr:uid="{00000000-0005-0000-0000-0000C5070000}"/>
    <cellStyle name="Normale 5" xfId="1696" xr:uid="{00000000-0005-0000-0000-0000C6070000}"/>
    <cellStyle name="Normale 5 2" xfId="2157" xr:uid="{00000000-0005-0000-0000-0000C7070000}"/>
    <cellStyle name="Normale 5 3" xfId="2158" xr:uid="{00000000-0005-0000-0000-0000C8070000}"/>
    <cellStyle name="Normale 6" xfId="1697" xr:uid="{00000000-0005-0000-0000-0000C9070000}"/>
    <cellStyle name="Normale 7" xfId="1698" xr:uid="{00000000-0005-0000-0000-0000CA070000}"/>
    <cellStyle name="Normale 8" xfId="1699" xr:uid="{00000000-0005-0000-0000-0000CB070000}"/>
    <cellStyle name="Normale 9" xfId="10" xr:uid="{00000000-0005-0000-0000-0000CC070000}"/>
    <cellStyle name="Normale 9 2" xfId="1814" xr:uid="{00000000-0005-0000-0000-0000CD070000}"/>
    <cellStyle name="normální_CRISP B_S FILE" xfId="2" xr:uid="{00000000-0005-0000-0000-0000CE070000}"/>
    <cellStyle name="Nota 10" xfId="1700" xr:uid="{00000000-0005-0000-0000-0000CF070000}"/>
    <cellStyle name="Nota 11" xfId="1701" xr:uid="{00000000-0005-0000-0000-0000D0070000}"/>
    <cellStyle name="Nota 12" xfId="1702" xr:uid="{00000000-0005-0000-0000-0000D1070000}"/>
    <cellStyle name="Nota 13" xfId="1703" xr:uid="{00000000-0005-0000-0000-0000D2070000}"/>
    <cellStyle name="Nota 14" xfId="1704" xr:uid="{00000000-0005-0000-0000-0000D3070000}"/>
    <cellStyle name="Nota 15" xfId="1705" xr:uid="{00000000-0005-0000-0000-0000D4070000}"/>
    <cellStyle name="Nota 16" xfId="1706" xr:uid="{00000000-0005-0000-0000-0000D5070000}"/>
    <cellStyle name="Nota 17" xfId="1707" xr:uid="{00000000-0005-0000-0000-0000D6070000}"/>
    <cellStyle name="Nota 18" xfId="1859" xr:uid="{00000000-0005-0000-0000-0000D7070000}"/>
    <cellStyle name="Nota 19" xfId="1860" xr:uid="{00000000-0005-0000-0000-0000D8070000}"/>
    <cellStyle name="Nota 2" xfId="1708" xr:uid="{00000000-0005-0000-0000-0000D9070000}"/>
    <cellStyle name="Nota 2 2" xfId="2159" xr:uid="{00000000-0005-0000-0000-0000DA070000}"/>
    <cellStyle name="Nota 3" xfId="1709" xr:uid="{00000000-0005-0000-0000-0000DB070000}"/>
    <cellStyle name="Nota 3 2" xfId="2160" xr:uid="{00000000-0005-0000-0000-0000DC070000}"/>
    <cellStyle name="Nota 3 3" xfId="2161" xr:uid="{00000000-0005-0000-0000-0000DD070000}"/>
    <cellStyle name="Nota 4" xfId="1710" xr:uid="{00000000-0005-0000-0000-0000DE070000}"/>
    <cellStyle name="Nota 5" xfId="1711" xr:uid="{00000000-0005-0000-0000-0000DF070000}"/>
    <cellStyle name="Nota 6" xfId="1712" xr:uid="{00000000-0005-0000-0000-0000E0070000}"/>
    <cellStyle name="Nota 7" xfId="1713" xr:uid="{00000000-0005-0000-0000-0000E1070000}"/>
    <cellStyle name="Nota 8" xfId="1714" xr:uid="{00000000-0005-0000-0000-0000E2070000}"/>
    <cellStyle name="Nota 9" xfId="1715" xr:uid="{00000000-0005-0000-0000-0000E3070000}"/>
    <cellStyle name="Notas" xfId="1716" xr:uid="{00000000-0005-0000-0000-0000E4070000}"/>
    <cellStyle name="Notas 2" xfId="1717" xr:uid="{00000000-0005-0000-0000-0000E5070000}"/>
    <cellStyle name="Notas_20081202 - Denmark" xfId="1718" xr:uid="{00000000-0005-0000-0000-0000E6070000}"/>
    <cellStyle name="Note" xfId="1719" xr:uid="{00000000-0005-0000-0000-0000E7070000}"/>
    <cellStyle name="Note 2" xfId="1960" xr:uid="{00000000-0005-0000-0000-0000E8070000}"/>
    <cellStyle name="Note 3" xfId="1961" xr:uid="{00000000-0005-0000-0000-0000E9070000}"/>
    <cellStyle name="Note 4" xfId="2162" xr:uid="{00000000-0005-0000-0000-0000EA070000}"/>
    <cellStyle name="NumPagina" xfId="1720" xr:uid="{00000000-0005-0000-0000-0000EB070000}"/>
    <cellStyle name="Option_Added_Cont_Desc" xfId="1962" xr:uid="{00000000-0005-0000-0000-0000EC070000}"/>
    <cellStyle name="Output 2" xfId="1721" xr:uid="{00000000-0005-0000-0000-0000ED070000}"/>
    <cellStyle name="Output 2 2" xfId="2163" xr:uid="{00000000-0005-0000-0000-0000EE070000}"/>
    <cellStyle name="Output 2 3" xfId="2164" xr:uid="{00000000-0005-0000-0000-0000EF070000}"/>
    <cellStyle name="Output 3" xfId="1861" xr:uid="{00000000-0005-0000-0000-0000F0070000}"/>
    <cellStyle name="Output 3 2" xfId="2165" xr:uid="{00000000-0005-0000-0000-0000F1070000}"/>
    <cellStyle name="Output 3 3" xfId="2166" xr:uid="{00000000-0005-0000-0000-0000F2070000}"/>
    <cellStyle name="Output 4" xfId="1963" xr:uid="{00000000-0005-0000-0000-0000F3070000}"/>
    <cellStyle name="Output 4 2" xfId="2167" xr:uid="{00000000-0005-0000-0000-0000F4070000}"/>
    <cellStyle name="Output 4 3" xfId="2168" xr:uid="{00000000-0005-0000-0000-0000F5070000}"/>
    <cellStyle name="Perc1" xfId="1722" xr:uid="{00000000-0005-0000-0000-0000F6070000}"/>
    <cellStyle name="Perc2" xfId="1723" xr:uid="{00000000-0005-0000-0000-0000F7070000}"/>
    <cellStyle name="Percent [0]" xfId="1724" xr:uid="{00000000-0005-0000-0000-0000F8070000}"/>
    <cellStyle name="Percent [00]" xfId="1725" xr:uid="{00000000-0005-0000-0000-0000F9070000}"/>
    <cellStyle name="Percent [2]" xfId="1726" xr:uid="{00000000-0005-0000-0000-0000FA070000}"/>
    <cellStyle name="Percent 2" xfId="1964" xr:uid="{00000000-0005-0000-0000-0000FB070000}"/>
    <cellStyle name="Percent 2 2" xfId="1965" xr:uid="{00000000-0005-0000-0000-0000FC070000}"/>
    <cellStyle name="Percent_#6 Temps &amp; Contractors" xfId="1727" xr:uid="{00000000-0005-0000-0000-0000FD070000}"/>
    <cellStyle name="Percentuale" xfId="1" builtinId="5"/>
    <cellStyle name="Percentuale 2" xfId="11" xr:uid="{00000000-0005-0000-0000-0000FF070000}"/>
    <cellStyle name="Percentuale 2 2" xfId="1966" xr:uid="{00000000-0005-0000-0000-000000080000}"/>
    <cellStyle name="Percentuale 3" xfId="12" xr:uid="{00000000-0005-0000-0000-000001080000}"/>
    <cellStyle name="Percentuale 3 2" xfId="2169" xr:uid="{00000000-0005-0000-0000-000002080000}"/>
    <cellStyle name="Percentuale 4" xfId="2170" xr:uid="{00000000-0005-0000-0000-000003080000}"/>
    <cellStyle name="Percentuale 5" xfId="2171" xr:uid="{00000000-0005-0000-0000-000004080000}"/>
    <cellStyle name="Percentuale 6" xfId="2304" xr:uid="{00000000-0005-0000-0000-000005080000}"/>
    <cellStyle name="Porcentual 2" xfId="1728" xr:uid="{00000000-0005-0000-0000-000006080000}"/>
    <cellStyle name="Preliminary_Data" xfId="1967" xr:uid="{00000000-0005-0000-0000-000007080000}"/>
    <cellStyle name="PrePop Currency (0)" xfId="1729" xr:uid="{00000000-0005-0000-0000-000008080000}"/>
    <cellStyle name="PrePop Currency (2)" xfId="1730" xr:uid="{00000000-0005-0000-0000-000009080000}"/>
    <cellStyle name="PrePop Units (0)" xfId="1731" xr:uid="{00000000-0005-0000-0000-00000A080000}"/>
    <cellStyle name="PrePop Units (1)" xfId="1732" xr:uid="{00000000-0005-0000-0000-00000B080000}"/>
    <cellStyle name="PrePop Units (2)" xfId="1733" xr:uid="{00000000-0005-0000-0000-00000C080000}"/>
    <cellStyle name="Prices_Data" xfId="1968" xr:uid="{00000000-0005-0000-0000-00000D080000}"/>
    <cellStyle name="Salida" xfId="1734" xr:uid="{00000000-0005-0000-0000-00000E080000}"/>
    <cellStyle name="Salida 2" xfId="1735" xr:uid="{00000000-0005-0000-0000-00000F080000}"/>
    <cellStyle name="Salida_20081202 - Denmark" xfId="1736" xr:uid="{00000000-0005-0000-0000-000010080000}"/>
    <cellStyle name="SAPBEXaggData" xfId="1737" xr:uid="{00000000-0005-0000-0000-000011080000}"/>
    <cellStyle name="SAPBEXaggData 2" xfId="1969" xr:uid="{00000000-0005-0000-0000-000012080000}"/>
    <cellStyle name="SAPBEXaggData 3" xfId="1970" xr:uid="{00000000-0005-0000-0000-000013080000}"/>
    <cellStyle name="SAPBEXaggData_CAD" xfId="1971" xr:uid="{00000000-0005-0000-0000-000014080000}"/>
    <cellStyle name="SAPBEXaggDataEmph" xfId="1738" xr:uid="{00000000-0005-0000-0000-000015080000}"/>
    <cellStyle name="SAPBEXaggDataEmph 2" xfId="2172" xr:uid="{00000000-0005-0000-0000-000016080000}"/>
    <cellStyle name="SAPBEXaggDataEmph 2 2" xfId="2173" xr:uid="{00000000-0005-0000-0000-000017080000}"/>
    <cellStyle name="SAPBEXaggDataEmph 2 3" xfId="2174" xr:uid="{00000000-0005-0000-0000-000018080000}"/>
    <cellStyle name="SAPBEXaggDataEmph 3" xfId="2175" xr:uid="{00000000-0005-0000-0000-000019080000}"/>
    <cellStyle name="SAPBEXaggItem" xfId="1739" xr:uid="{00000000-0005-0000-0000-00001A080000}"/>
    <cellStyle name="SAPBEXaggItem 2" xfId="1972" xr:uid="{00000000-0005-0000-0000-00001B080000}"/>
    <cellStyle name="SAPBEXaggItem 3" xfId="1973" xr:uid="{00000000-0005-0000-0000-00001C080000}"/>
    <cellStyle name="SAPBEXaggItemX" xfId="1740" xr:uid="{00000000-0005-0000-0000-00001D080000}"/>
    <cellStyle name="SAPBEXaggItemX 2" xfId="2176" xr:uid="{00000000-0005-0000-0000-00001E080000}"/>
    <cellStyle name="SAPBEXaggItemX 2 2" xfId="2177" xr:uid="{00000000-0005-0000-0000-00001F080000}"/>
    <cellStyle name="SAPBEXaggItemX 2 3" xfId="2178" xr:uid="{00000000-0005-0000-0000-000020080000}"/>
    <cellStyle name="SAPBEXaggItemX 3" xfId="2179" xr:uid="{00000000-0005-0000-0000-000021080000}"/>
    <cellStyle name="SAPBEXchaText" xfId="1741" xr:uid="{00000000-0005-0000-0000-000022080000}"/>
    <cellStyle name="SAPBEXchaText 2" xfId="1974" xr:uid="{00000000-0005-0000-0000-000023080000}"/>
    <cellStyle name="SAPBEXchaText 3" xfId="1975" xr:uid="{00000000-0005-0000-0000-000024080000}"/>
    <cellStyle name="SAPBEXchaText_Anagrafica" xfId="2180" xr:uid="{00000000-0005-0000-0000-000025080000}"/>
    <cellStyle name="SAPBEXexcBad7" xfId="1742" xr:uid="{00000000-0005-0000-0000-000026080000}"/>
    <cellStyle name="SAPBEXexcBad7 2" xfId="2181" xr:uid="{00000000-0005-0000-0000-000027080000}"/>
    <cellStyle name="SAPBEXexcBad7 3" xfId="2182" xr:uid="{00000000-0005-0000-0000-000028080000}"/>
    <cellStyle name="SAPBEXexcBad8" xfId="1743" xr:uid="{00000000-0005-0000-0000-000029080000}"/>
    <cellStyle name="SAPBEXexcBad8 2" xfId="2183" xr:uid="{00000000-0005-0000-0000-00002A080000}"/>
    <cellStyle name="SAPBEXexcBad8 3" xfId="2184" xr:uid="{00000000-0005-0000-0000-00002B080000}"/>
    <cellStyle name="SAPBEXexcBad9" xfId="1744" xr:uid="{00000000-0005-0000-0000-00002C080000}"/>
    <cellStyle name="SAPBEXexcBad9 2" xfId="2185" xr:uid="{00000000-0005-0000-0000-00002D080000}"/>
    <cellStyle name="SAPBEXexcBad9 3" xfId="2186" xr:uid="{00000000-0005-0000-0000-00002E080000}"/>
    <cellStyle name="SAPBEXexcCritical4" xfId="1745" xr:uid="{00000000-0005-0000-0000-00002F080000}"/>
    <cellStyle name="SAPBEXexcCritical4 2" xfId="2187" xr:uid="{00000000-0005-0000-0000-000030080000}"/>
    <cellStyle name="SAPBEXexcCritical4 3" xfId="2188" xr:uid="{00000000-0005-0000-0000-000031080000}"/>
    <cellStyle name="SAPBEXexcCritical5" xfId="1746" xr:uid="{00000000-0005-0000-0000-000032080000}"/>
    <cellStyle name="SAPBEXexcCritical5 2" xfId="2189" xr:uid="{00000000-0005-0000-0000-000033080000}"/>
    <cellStyle name="SAPBEXexcCritical5 3" xfId="2190" xr:uid="{00000000-0005-0000-0000-000034080000}"/>
    <cellStyle name="SAPBEXexcCritical6" xfId="1747" xr:uid="{00000000-0005-0000-0000-000035080000}"/>
    <cellStyle name="SAPBEXexcCritical6 2" xfId="2191" xr:uid="{00000000-0005-0000-0000-000036080000}"/>
    <cellStyle name="SAPBEXexcCritical6 3" xfId="2192" xr:uid="{00000000-0005-0000-0000-000037080000}"/>
    <cellStyle name="SAPBEXexcGood1" xfId="1748" xr:uid="{00000000-0005-0000-0000-000038080000}"/>
    <cellStyle name="SAPBEXexcGood1 2" xfId="2193" xr:uid="{00000000-0005-0000-0000-000039080000}"/>
    <cellStyle name="SAPBEXexcGood1 3" xfId="2194" xr:uid="{00000000-0005-0000-0000-00003A080000}"/>
    <cellStyle name="SAPBEXexcGood2" xfId="1749" xr:uid="{00000000-0005-0000-0000-00003B080000}"/>
    <cellStyle name="SAPBEXexcGood2 2" xfId="2195" xr:uid="{00000000-0005-0000-0000-00003C080000}"/>
    <cellStyle name="SAPBEXexcGood2 3" xfId="2196" xr:uid="{00000000-0005-0000-0000-00003D080000}"/>
    <cellStyle name="SAPBEXexcGood3" xfId="1750" xr:uid="{00000000-0005-0000-0000-00003E080000}"/>
    <cellStyle name="SAPBEXexcGood3 2" xfId="2197" xr:uid="{00000000-0005-0000-0000-00003F080000}"/>
    <cellStyle name="SAPBEXexcGood3 3" xfId="2198" xr:uid="{00000000-0005-0000-0000-000040080000}"/>
    <cellStyle name="SAPBEXfilterDrill" xfId="1751" xr:uid="{00000000-0005-0000-0000-000041080000}"/>
    <cellStyle name="SAPBEXfilterDrill 2" xfId="2199" xr:uid="{00000000-0005-0000-0000-000042080000}"/>
    <cellStyle name="SAPBEXfilterDrill 3" xfId="2200" xr:uid="{00000000-0005-0000-0000-000043080000}"/>
    <cellStyle name="SAPBEXfilterItem" xfId="1752" xr:uid="{00000000-0005-0000-0000-000044080000}"/>
    <cellStyle name="SAPBEXfilterItem 2" xfId="2201" xr:uid="{00000000-0005-0000-0000-000045080000}"/>
    <cellStyle name="SAPBEXfilterItem 2 2" xfId="2202" xr:uid="{00000000-0005-0000-0000-000046080000}"/>
    <cellStyle name="SAPBEXfilterItem 2 3" xfId="2203" xr:uid="{00000000-0005-0000-0000-000047080000}"/>
    <cellStyle name="SAPBEXfilterItem 3" xfId="2204" xr:uid="{00000000-0005-0000-0000-000048080000}"/>
    <cellStyle name="SAPBEXfilterItem 4" xfId="2205" xr:uid="{00000000-0005-0000-0000-000049080000}"/>
    <cellStyle name="SAPBEXfilterText" xfId="1753" xr:uid="{00000000-0005-0000-0000-00004A080000}"/>
    <cellStyle name="SAPBEXfilterText 2" xfId="2206" xr:uid="{00000000-0005-0000-0000-00004B080000}"/>
    <cellStyle name="SAPBEXfilterText 2 2" xfId="2207" xr:uid="{00000000-0005-0000-0000-00004C080000}"/>
    <cellStyle name="SAPBEXfilterText 2 3" xfId="2208" xr:uid="{00000000-0005-0000-0000-00004D080000}"/>
    <cellStyle name="SAPBEXfilterText 3" xfId="2209" xr:uid="{00000000-0005-0000-0000-00004E080000}"/>
    <cellStyle name="SAPBEXfilterText 4" xfId="2210" xr:uid="{00000000-0005-0000-0000-00004F080000}"/>
    <cellStyle name="SAPBEXformats" xfId="1754" xr:uid="{00000000-0005-0000-0000-000050080000}"/>
    <cellStyle name="SAPBEXformats 2" xfId="2211" xr:uid="{00000000-0005-0000-0000-000051080000}"/>
    <cellStyle name="SAPBEXformats 3" xfId="2212" xr:uid="{00000000-0005-0000-0000-000052080000}"/>
    <cellStyle name="SAPBEXheaderItem" xfId="1755" xr:uid="{00000000-0005-0000-0000-000053080000}"/>
    <cellStyle name="SAPBEXheaderItem 2" xfId="2213" xr:uid="{00000000-0005-0000-0000-000054080000}"/>
    <cellStyle name="SAPBEXheaderItem 3" xfId="2214" xr:uid="{00000000-0005-0000-0000-000055080000}"/>
    <cellStyle name="SAPBEXheaderItem 4" xfId="2215" xr:uid="{00000000-0005-0000-0000-000056080000}"/>
    <cellStyle name="SAPBEXheaderText" xfId="1756" xr:uid="{00000000-0005-0000-0000-000057080000}"/>
    <cellStyle name="SAPBEXheaderText 2" xfId="2216" xr:uid="{00000000-0005-0000-0000-000058080000}"/>
    <cellStyle name="SAPBEXheaderText 3" xfId="2217" xr:uid="{00000000-0005-0000-0000-000059080000}"/>
    <cellStyle name="SAPBEXheaderText 4" xfId="2218" xr:uid="{00000000-0005-0000-0000-00005A080000}"/>
    <cellStyle name="SAPBEXHLevel0" xfId="1757" xr:uid="{00000000-0005-0000-0000-00005B080000}"/>
    <cellStyle name="SAPBEXHLevel0 2" xfId="2219" xr:uid="{00000000-0005-0000-0000-00005C080000}"/>
    <cellStyle name="SAPBEXHLevel0 3" xfId="2220" xr:uid="{00000000-0005-0000-0000-00005D080000}"/>
    <cellStyle name="SAPBEXHLevel0 4" xfId="2221" xr:uid="{00000000-0005-0000-0000-00005E080000}"/>
    <cellStyle name="SAPBEXHLevel0X" xfId="1758" xr:uid="{00000000-0005-0000-0000-00005F080000}"/>
    <cellStyle name="SAPBEXHLevel0X 2" xfId="2222" xr:uid="{00000000-0005-0000-0000-000060080000}"/>
    <cellStyle name="SAPBEXHLevel0X 2 2" xfId="2223" xr:uid="{00000000-0005-0000-0000-000061080000}"/>
    <cellStyle name="SAPBEXHLevel0X 2 3" xfId="2224" xr:uid="{00000000-0005-0000-0000-000062080000}"/>
    <cellStyle name="SAPBEXHLevel0X 3" xfId="2225" xr:uid="{00000000-0005-0000-0000-000063080000}"/>
    <cellStyle name="SAPBEXHLevel0X 3 2" xfId="2226" xr:uid="{00000000-0005-0000-0000-000064080000}"/>
    <cellStyle name="SAPBEXHLevel0X 3 3" xfId="2227" xr:uid="{00000000-0005-0000-0000-000065080000}"/>
    <cellStyle name="SAPBEXHLevel0X 4" xfId="2228" xr:uid="{00000000-0005-0000-0000-000066080000}"/>
    <cellStyle name="SAPBEXHLevel1" xfId="1759" xr:uid="{00000000-0005-0000-0000-000067080000}"/>
    <cellStyle name="SAPBEXHLevel1 2" xfId="2229" xr:uid="{00000000-0005-0000-0000-000068080000}"/>
    <cellStyle name="SAPBEXHLevel1 3" xfId="2230" xr:uid="{00000000-0005-0000-0000-000069080000}"/>
    <cellStyle name="SAPBEXHLevel1 4" xfId="2231" xr:uid="{00000000-0005-0000-0000-00006A080000}"/>
    <cellStyle name="SAPBEXHLevel1X" xfId="1760" xr:uid="{00000000-0005-0000-0000-00006B080000}"/>
    <cellStyle name="SAPBEXHLevel1X 2" xfId="2232" xr:uid="{00000000-0005-0000-0000-00006C080000}"/>
    <cellStyle name="SAPBEXHLevel1X 2 2" xfId="2233" xr:uid="{00000000-0005-0000-0000-00006D080000}"/>
    <cellStyle name="SAPBEXHLevel1X 2 3" xfId="2234" xr:uid="{00000000-0005-0000-0000-00006E080000}"/>
    <cellStyle name="SAPBEXHLevel1X 3" xfId="2235" xr:uid="{00000000-0005-0000-0000-00006F080000}"/>
    <cellStyle name="SAPBEXHLevel1X 3 2" xfId="2236" xr:uid="{00000000-0005-0000-0000-000070080000}"/>
    <cellStyle name="SAPBEXHLevel1X 3 3" xfId="2237" xr:uid="{00000000-0005-0000-0000-000071080000}"/>
    <cellStyle name="SAPBEXHLevel1X 4" xfId="2238" xr:uid="{00000000-0005-0000-0000-000072080000}"/>
    <cellStyle name="SAPBEXHLevel2" xfId="1761" xr:uid="{00000000-0005-0000-0000-000073080000}"/>
    <cellStyle name="SAPBEXHLevel2 2" xfId="2239" xr:uid="{00000000-0005-0000-0000-000074080000}"/>
    <cellStyle name="SAPBEXHLevel2 3" xfId="2240" xr:uid="{00000000-0005-0000-0000-000075080000}"/>
    <cellStyle name="SAPBEXHLevel2 4" xfId="2241" xr:uid="{00000000-0005-0000-0000-000076080000}"/>
    <cellStyle name="SAPBEXHLevel2X" xfId="1762" xr:uid="{00000000-0005-0000-0000-000077080000}"/>
    <cellStyle name="SAPBEXHLevel2X 2" xfId="2242" xr:uid="{00000000-0005-0000-0000-000078080000}"/>
    <cellStyle name="SAPBEXHLevel2X 2 2" xfId="2243" xr:uid="{00000000-0005-0000-0000-000079080000}"/>
    <cellStyle name="SAPBEXHLevel2X 2 3" xfId="2244" xr:uid="{00000000-0005-0000-0000-00007A080000}"/>
    <cellStyle name="SAPBEXHLevel2X 3" xfId="2245" xr:uid="{00000000-0005-0000-0000-00007B080000}"/>
    <cellStyle name="SAPBEXHLevel2X 3 2" xfId="2246" xr:uid="{00000000-0005-0000-0000-00007C080000}"/>
    <cellStyle name="SAPBEXHLevel2X 3 3" xfId="2247" xr:uid="{00000000-0005-0000-0000-00007D080000}"/>
    <cellStyle name="SAPBEXHLevel2X 4" xfId="2248" xr:uid="{00000000-0005-0000-0000-00007E080000}"/>
    <cellStyle name="SAPBEXHLevel3" xfId="1763" xr:uid="{00000000-0005-0000-0000-00007F080000}"/>
    <cellStyle name="SAPBEXHLevel3 2" xfId="2249" xr:uid="{00000000-0005-0000-0000-000080080000}"/>
    <cellStyle name="SAPBEXHLevel3 3" xfId="2250" xr:uid="{00000000-0005-0000-0000-000081080000}"/>
    <cellStyle name="SAPBEXHLevel3 4" xfId="2251" xr:uid="{00000000-0005-0000-0000-000082080000}"/>
    <cellStyle name="SAPBEXHLevel3X" xfId="1764" xr:uid="{00000000-0005-0000-0000-000083080000}"/>
    <cellStyle name="SAPBEXHLevel3X 2" xfId="2252" xr:uid="{00000000-0005-0000-0000-000084080000}"/>
    <cellStyle name="SAPBEXHLevel3X 2 2" xfId="2253" xr:uid="{00000000-0005-0000-0000-000085080000}"/>
    <cellStyle name="SAPBEXHLevel3X 2 3" xfId="2254" xr:uid="{00000000-0005-0000-0000-000086080000}"/>
    <cellStyle name="SAPBEXHLevel3X 3" xfId="2255" xr:uid="{00000000-0005-0000-0000-000087080000}"/>
    <cellStyle name="SAPBEXHLevel3X 3 2" xfId="2256" xr:uid="{00000000-0005-0000-0000-000088080000}"/>
    <cellStyle name="SAPBEXHLevel3X 3 3" xfId="2257" xr:uid="{00000000-0005-0000-0000-000089080000}"/>
    <cellStyle name="SAPBEXHLevel3X 4" xfId="2258" xr:uid="{00000000-0005-0000-0000-00008A080000}"/>
    <cellStyle name="SAPBEXinputData" xfId="1765" xr:uid="{00000000-0005-0000-0000-00008B080000}"/>
    <cellStyle name="SAPBEXinputData 2" xfId="2259" xr:uid="{00000000-0005-0000-0000-00008C080000}"/>
    <cellStyle name="SAPBEXinputData 2 2" xfId="2260" xr:uid="{00000000-0005-0000-0000-00008D080000}"/>
    <cellStyle name="SAPBEXinputData 2 3" xfId="2261" xr:uid="{00000000-0005-0000-0000-00008E080000}"/>
    <cellStyle name="SAPBEXinputData 3" xfId="2262" xr:uid="{00000000-0005-0000-0000-00008F080000}"/>
    <cellStyle name="SAPBEXinputData 3 2" xfId="2263" xr:uid="{00000000-0005-0000-0000-000090080000}"/>
    <cellStyle name="SAPBEXinputData 3 3" xfId="2264" xr:uid="{00000000-0005-0000-0000-000091080000}"/>
    <cellStyle name="SAPBEXinputData 4" xfId="2265" xr:uid="{00000000-0005-0000-0000-000092080000}"/>
    <cellStyle name="SAPBEXItemHeader" xfId="1766" xr:uid="{00000000-0005-0000-0000-000093080000}"/>
    <cellStyle name="SAPBEXresData" xfId="1767" xr:uid="{00000000-0005-0000-0000-000094080000}"/>
    <cellStyle name="SAPBEXresData 2" xfId="2266" xr:uid="{00000000-0005-0000-0000-000095080000}"/>
    <cellStyle name="SAPBEXresData 2 2" xfId="2267" xr:uid="{00000000-0005-0000-0000-000096080000}"/>
    <cellStyle name="SAPBEXresData 2 3" xfId="2268" xr:uid="{00000000-0005-0000-0000-000097080000}"/>
    <cellStyle name="SAPBEXresData 3" xfId="2269" xr:uid="{00000000-0005-0000-0000-000098080000}"/>
    <cellStyle name="SAPBEXresDataEmph" xfId="1768" xr:uid="{00000000-0005-0000-0000-000099080000}"/>
    <cellStyle name="SAPBEXresDataEmph 2" xfId="2270" xr:uid="{00000000-0005-0000-0000-00009A080000}"/>
    <cellStyle name="SAPBEXresDataEmph 2 2" xfId="2271" xr:uid="{00000000-0005-0000-0000-00009B080000}"/>
    <cellStyle name="SAPBEXresDataEmph 2 3" xfId="2272" xr:uid="{00000000-0005-0000-0000-00009C080000}"/>
    <cellStyle name="SAPBEXresDataEmph 3" xfId="2273" xr:uid="{00000000-0005-0000-0000-00009D080000}"/>
    <cellStyle name="SAPBEXresItem" xfId="1769" xr:uid="{00000000-0005-0000-0000-00009E080000}"/>
    <cellStyle name="SAPBEXresItem 2" xfId="2274" xr:uid="{00000000-0005-0000-0000-00009F080000}"/>
    <cellStyle name="SAPBEXresItem 2 2" xfId="2275" xr:uid="{00000000-0005-0000-0000-0000A0080000}"/>
    <cellStyle name="SAPBEXresItem 2 3" xfId="2276" xr:uid="{00000000-0005-0000-0000-0000A1080000}"/>
    <cellStyle name="SAPBEXresItem 3" xfId="2277" xr:uid="{00000000-0005-0000-0000-0000A2080000}"/>
    <cellStyle name="SAPBEXresItemX" xfId="1770" xr:uid="{00000000-0005-0000-0000-0000A3080000}"/>
    <cellStyle name="SAPBEXresItemX 2" xfId="2278" xr:uid="{00000000-0005-0000-0000-0000A4080000}"/>
    <cellStyle name="SAPBEXresItemX 2 2" xfId="2279" xr:uid="{00000000-0005-0000-0000-0000A5080000}"/>
    <cellStyle name="SAPBEXresItemX 2 3" xfId="2280" xr:uid="{00000000-0005-0000-0000-0000A6080000}"/>
    <cellStyle name="SAPBEXresItemX 3" xfId="2281" xr:uid="{00000000-0005-0000-0000-0000A7080000}"/>
    <cellStyle name="SAPBEXstdData" xfId="1771" xr:uid="{00000000-0005-0000-0000-0000A8080000}"/>
    <cellStyle name="SAPBEXstdData 2" xfId="1976" xr:uid="{00000000-0005-0000-0000-0000A9080000}"/>
    <cellStyle name="SAPBEXstdData 3" xfId="1977" xr:uid="{00000000-0005-0000-0000-0000AA080000}"/>
    <cellStyle name="SAPBEXstdData_CAD" xfId="1978" xr:uid="{00000000-0005-0000-0000-0000AB080000}"/>
    <cellStyle name="SAPBEXstdDataEmph" xfId="1772" xr:uid="{00000000-0005-0000-0000-0000AC080000}"/>
    <cellStyle name="SAPBEXstdDataEmph 2" xfId="2282" xr:uid="{00000000-0005-0000-0000-0000AD080000}"/>
    <cellStyle name="SAPBEXstdDataEmph 2 2" xfId="2283" xr:uid="{00000000-0005-0000-0000-0000AE080000}"/>
    <cellStyle name="SAPBEXstdDataEmph 2 3" xfId="2284" xr:uid="{00000000-0005-0000-0000-0000AF080000}"/>
    <cellStyle name="SAPBEXstdDataEmph 3" xfId="2285" xr:uid="{00000000-0005-0000-0000-0000B0080000}"/>
    <cellStyle name="SAPBEXstdItem" xfId="1773" xr:uid="{00000000-0005-0000-0000-0000B1080000}"/>
    <cellStyle name="SAPBEXstdItem 2" xfId="1979" xr:uid="{00000000-0005-0000-0000-0000B2080000}"/>
    <cellStyle name="SAPBEXstdItem 3" xfId="1980" xr:uid="{00000000-0005-0000-0000-0000B3080000}"/>
    <cellStyle name="SAPBEXstdItem_ageing" xfId="2286" xr:uid="{00000000-0005-0000-0000-0000B4080000}"/>
    <cellStyle name="SAPBEXstdItemX" xfId="1774" xr:uid="{00000000-0005-0000-0000-0000B5080000}"/>
    <cellStyle name="SAPBEXstdItemX 2" xfId="2287" xr:uid="{00000000-0005-0000-0000-0000B6080000}"/>
    <cellStyle name="SAPBEXstdItemX 2 2" xfId="2288" xr:uid="{00000000-0005-0000-0000-0000B7080000}"/>
    <cellStyle name="SAPBEXstdItemX 2 3" xfId="2289" xr:uid="{00000000-0005-0000-0000-0000B8080000}"/>
    <cellStyle name="SAPBEXstdItemX 3" xfId="2290" xr:uid="{00000000-0005-0000-0000-0000B9080000}"/>
    <cellStyle name="SAPBEXtitle" xfId="1775" xr:uid="{00000000-0005-0000-0000-0000BA080000}"/>
    <cellStyle name="SAPBEXtitle 2" xfId="2291" xr:uid="{00000000-0005-0000-0000-0000BB080000}"/>
    <cellStyle name="SAPBEXtitle 2 2" xfId="2292" xr:uid="{00000000-0005-0000-0000-0000BC080000}"/>
    <cellStyle name="SAPBEXtitle 2 3" xfId="2293" xr:uid="{00000000-0005-0000-0000-0000BD080000}"/>
    <cellStyle name="SAPBEXtitle 3" xfId="2294" xr:uid="{00000000-0005-0000-0000-0000BE080000}"/>
    <cellStyle name="SAPBEXunassignedItem" xfId="1776" xr:uid="{00000000-0005-0000-0000-0000BF080000}"/>
    <cellStyle name="SAPBEXunassignedItem 2" xfId="2295" xr:uid="{00000000-0005-0000-0000-0000C0080000}"/>
    <cellStyle name="SAPBEXundefined" xfId="1777" xr:uid="{00000000-0005-0000-0000-0000C1080000}"/>
    <cellStyle name="SAPBEXundefined 2" xfId="2296" xr:uid="{00000000-0005-0000-0000-0000C2080000}"/>
    <cellStyle name="SAPBEXundefined 2 2" xfId="2297" xr:uid="{00000000-0005-0000-0000-0000C3080000}"/>
    <cellStyle name="SAPBEXundefined 2 3" xfId="2298" xr:uid="{00000000-0005-0000-0000-0000C4080000}"/>
    <cellStyle name="SAPBEXundefined 3" xfId="2299" xr:uid="{00000000-0005-0000-0000-0000C5080000}"/>
    <cellStyle name="Sheet Title" xfId="1778" xr:uid="{00000000-0005-0000-0000-0000C6080000}"/>
    <cellStyle name="Standard_20071123 Gesamtbestand für EWB-Berechng" xfId="1779" xr:uid="{00000000-0005-0000-0000-0000C7080000}"/>
    <cellStyle name="STYL1 - Style1" xfId="1780" xr:uid="{00000000-0005-0000-0000-0000C8080000}"/>
    <cellStyle name="STYL2 - Style2" xfId="1781" xr:uid="{00000000-0005-0000-0000-0000C9080000}"/>
    <cellStyle name="STYL3 - Style3" xfId="1782" xr:uid="{00000000-0005-0000-0000-0000CA080000}"/>
    <cellStyle name="STYL4 - Style4" xfId="1783" xr:uid="{00000000-0005-0000-0000-0000CB080000}"/>
    <cellStyle name="STYL5 - Style5" xfId="1784" xr:uid="{00000000-0005-0000-0000-0000CC080000}"/>
    <cellStyle name="Testo avviso 2" xfId="1785" xr:uid="{00000000-0005-0000-0000-0000CD080000}"/>
    <cellStyle name="Testo avviso 3" xfId="1862" xr:uid="{00000000-0005-0000-0000-0000CE080000}"/>
    <cellStyle name="Testo descrittivo 2" xfId="1786" xr:uid="{00000000-0005-0000-0000-0000CF080000}"/>
    <cellStyle name="Testo descrittivo 3" xfId="1863" xr:uid="{00000000-0005-0000-0000-0000D0080000}"/>
    <cellStyle name="Text Indent A" xfId="1787" xr:uid="{00000000-0005-0000-0000-0000D1080000}"/>
    <cellStyle name="Text Indent B" xfId="1788" xr:uid="{00000000-0005-0000-0000-0000D2080000}"/>
    <cellStyle name="Text Indent C" xfId="1789" xr:uid="{00000000-0005-0000-0000-0000D3080000}"/>
    <cellStyle name="Texto de advertencia" xfId="1790" xr:uid="{00000000-0005-0000-0000-0000D4080000}"/>
    <cellStyle name="Texto explicativo" xfId="1791" xr:uid="{00000000-0005-0000-0000-0000D5080000}"/>
    <cellStyle name="Title" xfId="2300" xr:uid="{00000000-0005-0000-0000-0000D6080000}"/>
    <cellStyle name="Title 2" xfId="1981" xr:uid="{00000000-0005-0000-0000-0000D7080000}"/>
    <cellStyle name="Titolo 1 2" xfId="1792" xr:uid="{00000000-0005-0000-0000-0000D8080000}"/>
    <cellStyle name="Titolo 1 3" xfId="1864" xr:uid="{00000000-0005-0000-0000-0000D9080000}"/>
    <cellStyle name="Titolo 2 2" xfId="1793" xr:uid="{00000000-0005-0000-0000-0000DA080000}"/>
    <cellStyle name="Titolo 2 3" xfId="1865" xr:uid="{00000000-0005-0000-0000-0000DB080000}"/>
    <cellStyle name="Titolo 3 2" xfId="1794" xr:uid="{00000000-0005-0000-0000-0000DC080000}"/>
    <cellStyle name="Titolo 3 3" xfId="1866" xr:uid="{00000000-0005-0000-0000-0000DD080000}"/>
    <cellStyle name="Titolo 4 2" xfId="1795" xr:uid="{00000000-0005-0000-0000-0000DE080000}"/>
    <cellStyle name="Titolo 4 3" xfId="1867" xr:uid="{00000000-0005-0000-0000-0000DF080000}"/>
    <cellStyle name="Titolo 5" xfId="1796" xr:uid="{00000000-0005-0000-0000-0000E0080000}"/>
    <cellStyle name="Titolo 6" xfId="1868" xr:uid="{00000000-0005-0000-0000-0000E1080000}"/>
    <cellStyle name="Titolo.1" xfId="1797" xr:uid="{00000000-0005-0000-0000-0000E2080000}"/>
    <cellStyle name="Titolo.2" xfId="1798" xr:uid="{00000000-0005-0000-0000-0000E3080000}"/>
    <cellStyle name="Título" xfId="1799" xr:uid="{00000000-0005-0000-0000-0000E4080000}"/>
    <cellStyle name="Título 1" xfId="1800" xr:uid="{00000000-0005-0000-0000-0000E5080000}"/>
    <cellStyle name="Título 2" xfId="1801" xr:uid="{00000000-0005-0000-0000-0000E6080000}"/>
    <cellStyle name="Título 3" xfId="1802" xr:uid="{00000000-0005-0000-0000-0000E7080000}"/>
    <cellStyle name="Título de hoja" xfId="1803" xr:uid="{00000000-0005-0000-0000-0000E8080000}"/>
    <cellStyle name="Total" xfId="1804" xr:uid="{00000000-0005-0000-0000-0000E9080000}"/>
    <cellStyle name="Total 2" xfId="1982" xr:uid="{00000000-0005-0000-0000-0000EA080000}"/>
    <cellStyle name="Total 3" xfId="1983" xr:uid="{00000000-0005-0000-0000-0000EB080000}"/>
    <cellStyle name="Totale 2" xfId="1805" xr:uid="{00000000-0005-0000-0000-0000EC080000}"/>
    <cellStyle name="Totale 3" xfId="1869" xr:uid="{00000000-0005-0000-0000-0000ED080000}"/>
    <cellStyle name="Unit" xfId="1806" xr:uid="{00000000-0005-0000-0000-0000EE080000}"/>
    <cellStyle name="Update" xfId="1807" xr:uid="{00000000-0005-0000-0000-0000EF080000}"/>
    <cellStyle name="Val(1)" xfId="1808" xr:uid="{00000000-0005-0000-0000-0000F0080000}"/>
    <cellStyle name="Valore non valido 2" xfId="1809" xr:uid="{00000000-0005-0000-0000-0000F1080000}"/>
    <cellStyle name="Valore non valido 3" xfId="1870" xr:uid="{00000000-0005-0000-0000-0000F2080000}"/>
    <cellStyle name="Valore valido 2" xfId="1810" xr:uid="{00000000-0005-0000-0000-0000F3080000}"/>
    <cellStyle name="Valore valido 3" xfId="1871" xr:uid="{00000000-0005-0000-0000-0000F4080000}"/>
    <cellStyle name="Valuta (0)_13759" xfId="1984" xr:uid="{00000000-0005-0000-0000-0000F5080000}"/>
    <cellStyle name="Valuta 2" xfId="1985" xr:uid="{00000000-0005-0000-0000-0000F6080000}"/>
    <cellStyle name="Valuta 3" xfId="1986" xr:uid="{00000000-0005-0000-0000-0000F7080000}"/>
    <cellStyle name="Valuta 4" xfId="1987" xr:uid="{00000000-0005-0000-0000-0000F8080000}"/>
    <cellStyle name="Vehicle_Benchmark" xfId="1988" xr:uid="{00000000-0005-0000-0000-0000F9080000}"/>
    <cellStyle name="Version_Header" xfId="1989" xr:uid="{00000000-0005-0000-0000-0000FA080000}"/>
    <cellStyle name="Volumes_Data" xfId="1990" xr:uid="{00000000-0005-0000-0000-0000FB080000}"/>
    <cellStyle name="Währung [0]_VERA" xfId="1811" xr:uid="{00000000-0005-0000-0000-0000FC080000}"/>
    <cellStyle name="Währung_VERA" xfId="1812" xr:uid="{00000000-0005-0000-0000-0000FD080000}"/>
    <cellStyle name="Warning Text" xfId="1813" xr:uid="{00000000-0005-0000-0000-0000FE080000}"/>
    <cellStyle name="Warning Text 2" xfId="1991" xr:uid="{00000000-0005-0000-0000-0000FF080000}"/>
    <cellStyle name="Warning Text 3" xfId="1992" xr:uid="{00000000-0005-0000-0000-000000090000}"/>
    <cellStyle name="Warning Text 4" xfId="2301" xr:uid="{00000000-0005-0000-0000-000001090000}"/>
  </cellStyles>
  <dxfs count="4"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 patternType="solid">
          <bgColor rgb="FF92D050"/>
        </patternFill>
      </fill>
    </dxf>
    <dxf>
      <font>
        <b/>
        <i val="0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RDY/budget/BDG%202006/template%20flotta/TEMPLATE%20FLOT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TRN1S3SVFIL01\Credito\Documents%20and%20Settings\u061613\Local%20Settings\Temporary%20Internet%20Files\OLK54\5.07%20janvier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zarsdc08\users$\PAOLO\MERCATI\SPAGNA\Valutazione%20rete\2000\VALRETE%20spagna%20su%20bil%2020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zarsdc08\users$\windows\TEMP\plafond%20spagna%2020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zarsdc08\users$\JULIO\EXCEL\RED\Comites%20credito\COMITE%20RIESGOS%20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butti - opzione D"/>
      <sheetName val="Cluster 1"/>
      <sheetName val="Cluster 2"/>
      <sheetName val="Cluster 3"/>
      <sheetName val="Cluster 4"/>
      <sheetName val="Cluster 5"/>
      <sheetName val="Cluster 6"/>
      <sheetName val="Cluster 7"/>
      <sheetName val="Cluster 8"/>
      <sheetName val="Cluster 9 NAM"/>
      <sheetName val="Cluster 9 FIELD"/>
      <sheetName val="Cluster 9 PA"/>
      <sheetName val="Cluster 9 RAC"/>
      <sheetName val="Cluster 9 RAC (MAGGIORE)"/>
      <sheetName val="Cluster 9 TRUCKS"/>
      <sheetName val="Cluster 13"/>
      <sheetName val="Cluster 14"/>
      <sheetName val="Cluster 15"/>
      <sheetName val="Cluster 16"/>
      <sheetName val="Cluster 17 FM Altri"/>
      <sheetName val="Cluster 17 FM POSTE"/>
      <sheetName val="Cluster 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xRepositorySheet"/>
      <sheetName val="5.07"/>
      <sheetName val="Feuil1"/>
      <sheetName val="Feuil2"/>
      <sheetName val="Table"/>
      <sheetName val="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RET"/>
      <sheetName val="COPIA"/>
      <sheetName val="Copertina "/>
      <sheetName val="pag1"/>
      <sheetName val="pag 2"/>
      <sheetName val="pag3"/>
      <sheetName val="pag4 "/>
      <sheetName val="pag5"/>
      <sheetName val="CLAS_INDICI"/>
      <sheetName val="scheda dealer"/>
      <sheetName val="confronti 99 vs 00"/>
      <sheetName val="Foglio1"/>
      <sheetName val="PLAFONES"/>
    </sheetNames>
    <sheetDataSet>
      <sheetData sheetId="0">
        <row r="9">
          <cell r="C9" t="str">
            <v>A.CAMPOS</v>
          </cell>
          <cell r="D9" t="str">
            <v>ALCIRA</v>
          </cell>
          <cell r="E9" t="str">
            <v>FLA</v>
          </cell>
          <cell r="F9" t="str">
            <v>NO</v>
          </cell>
          <cell r="G9">
            <v>5.5473417234623108</v>
          </cell>
          <cell r="H9">
            <v>427.64415275323648</v>
          </cell>
          <cell r="I9">
            <v>1961.8237111295423</v>
          </cell>
          <cell r="J9">
            <v>369.3339583859219</v>
          </cell>
          <cell r="K9">
            <v>0</v>
          </cell>
          <cell r="L9">
            <v>2423.6834829853474</v>
          </cell>
          <cell r="M9">
            <v>0</v>
          </cell>
          <cell r="N9">
            <v>12.080343298114025</v>
          </cell>
          <cell r="O9">
            <v>328.58533770870145</v>
          </cell>
          <cell r="P9">
            <v>0</v>
          </cell>
          <cell r="Q9">
            <v>0</v>
          </cell>
          <cell r="R9">
            <v>7779.5247196278533</v>
          </cell>
          <cell r="S9">
            <v>68.100681547726367</v>
          </cell>
          <cell r="T9">
            <v>20.20602694938276</v>
          </cell>
          <cell r="U9" t="str">
            <v>C</v>
          </cell>
          <cell r="V9">
            <v>0</v>
          </cell>
          <cell r="W9">
            <v>0</v>
          </cell>
          <cell r="X9">
            <v>1</v>
          </cell>
          <cell r="Y9">
            <v>0</v>
          </cell>
          <cell r="Z9">
            <v>494</v>
          </cell>
          <cell r="AA9">
            <v>-5.5473417234623108</v>
          </cell>
          <cell r="AB9">
            <v>328.58533770870145</v>
          </cell>
          <cell r="AC9">
            <v>0</v>
          </cell>
          <cell r="AD9">
            <v>-28.668277379106428</v>
          </cell>
          <cell r="AE9">
            <v>-34.21561910256878</v>
          </cell>
          <cell r="AF9">
            <v>-88</v>
          </cell>
          <cell r="AG9">
            <v>-88</v>
          </cell>
          <cell r="AI9">
            <v>8.7538357421639602E-3</v>
          </cell>
          <cell r="AJ9">
            <v>20.20602694938276</v>
          </cell>
          <cell r="AK9">
            <v>68.100681547726367</v>
          </cell>
          <cell r="AL9">
            <v>29.670814579472243</v>
          </cell>
          <cell r="AM9">
            <v>0</v>
          </cell>
          <cell r="AN9">
            <v>-88</v>
          </cell>
          <cell r="AO9">
            <v>0.87538357421639601</v>
          </cell>
          <cell r="AP9">
            <v>29.670814579472243</v>
          </cell>
          <cell r="AQ9">
            <v>25</v>
          </cell>
          <cell r="AR9">
            <v>0</v>
          </cell>
          <cell r="AS9">
            <v>0</v>
          </cell>
          <cell r="AT9">
            <v>4.8354072897361213</v>
          </cell>
          <cell r="AU9">
            <v>29.835407289736121</v>
          </cell>
        </row>
        <row r="10">
          <cell r="C10" t="str">
            <v>AGUIAUTO</v>
          </cell>
          <cell r="D10" t="str">
            <v>TERUEL ALCAÑIZ</v>
          </cell>
          <cell r="E10" t="str">
            <v>FL</v>
          </cell>
          <cell r="F10" t="str">
            <v>NO</v>
          </cell>
          <cell r="G10">
            <v>75.781616241751109</v>
          </cell>
          <cell r="H10">
            <v>224.44196026107966</v>
          </cell>
          <cell r="I10">
            <v>933.73841549168799</v>
          </cell>
          <cell r="J10">
            <v>77.386318560455805</v>
          </cell>
          <cell r="K10">
            <v>0</v>
          </cell>
          <cell r="L10">
            <v>1129.3558352265215</v>
          </cell>
          <cell r="M10">
            <v>0</v>
          </cell>
          <cell r="N10">
            <v>0</v>
          </cell>
          <cell r="O10">
            <v>181.99247532845311</v>
          </cell>
          <cell r="P10">
            <v>-2.2737367544323206E-13</v>
          </cell>
          <cell r="Q10" t="str">
            <v>Error</v>
          </cell>
          <cell r="R10">
            <v>3219.2552258002479</v>
          </cell>
          <cell r="S10">
            <v>62.925967328982004</v>
          </cell>
          <cell r="T10">
            <v>64.031829601048173</v>
          </cell>
          <cell r="U10" t="str">
            <v>A</v>
          </cell>
          <cell r="V10">
            <v>1</v>
          </cell>
          <cell r="W10">
            <v>0</v>
          </cell>
          <cell r="X10">
            <v>0</v>
          </cell>
          <cell r="Y10">
            <v>0</v>
          </cell>
          <cell r="Z10">
            <v>184</v>
          </cell>
          <cell r="AA10">
            <v>-75.781616241751109</v>
          </cell>
          <cell r="AB10">
            <v>181.99247532845311</v>
          </cell>
          <cell r="AC10">
            <v>0</v>
          </cell>
          <cell r="AD10">
            <v>104.60615676799731</v>
          </cell>
          <cell r="AE10">
            <v>28.82454052624621</v>
          </cell>
          <cell r="AF10">
            <v>362.90658882401988</v>
          </cell>
          <cell r="AG10">
            <v>362.90658882401988</v>
          </cell>
          <cell r="AI10">
            <v>1.9546746969507447E-2</v>
          </cell>
          <cell r="AJ10">
            <v>64.031829601048173</v>
          </cell>
          <cell r="AK10">
            <v>62.925967328982004</v>
          </cell>
          <cell r="AL10">
            <v>101.75740210124167</v>
          </cell>
          <cell r="AM10">
            <v>0</v>
          </cell>
          <cell r="AN10">
            <v>362.90658882401988</v>
          </cell>
          <cell r="AO10">
            <v>1.9546746969507447</v>
          </cell>
          <cell r="AP10">
            <v>101.75740210124167</v>
          </cell>
          <cell r="AQ10">
            <v>25</v>
          </cell>
          <cell r="AR10">
            <v>20</v>
          </cell>
          <cell r="AS10">
            <v>6.3644979796716319</v>
          </cell>
          <cell r="AT10">
            <v>15</v>
          </cell>
          <cell r="AU10">
            <v>66.364497979671626</v>
          </cell>
        </row>
        <row r="11">
          <cell r="C11" t="str">
            <v>ALFIBIZA</v>
          </cell>
          <cell r="D11" t="str">
            <v>IBIZA</v>
          </cell>
          <cell r="E11" t="str">
            <v>A</v>
          </cell>
          <cell r="F11" t="str">
            <v>SI</v>
          </cell>
          <cell r="G11">
            <v>13.642974769511858</v>
          </cell>
          <cell r="H11">
            <v>63.701272943637086</v>
          </cell>
          <cell r="I11">
            <v>136.83242580505572</v>
          </cell>
          <cell r="J11">
            <v>100.72361857367808</v>
          </cell>
          <cell r="K11">
            <v>155.30753789381319</v>
          </cell>
          <cell r="L11">
            <v>305.81899919464377</v>
          </cell>
          <cell r="M11">
            <v>12.795547702330726</v>
          </cell>
          <cell r="N11">
            <v>0</v>
          </cell>
          <cell r="O11">
            <v>-159.02179269890496</v>
          </cell>
          <cell r="P11">
            <v>0</v>
          </cell>
          <cell r="Q11">
            <v>0</v>
          </cell>
          <cell r="R11">
            <v>378.6616662459582</v>
          </cell>
          <cell r="S11">
            <v>-47.191470436214587</v>
          </cell>
          <cell r="T11">
            <v>-69.398867693195342</v>
          </cell>
          <cell r="U11" t="str">
            <v>D</v>
          </cell>
          <cell r="V11">
            <v>0</v>
          </cell>
          <cell r="W11">
            <v>0</v>
          </cell>
          <cell r="X11">
            <v>0</v>
          </cell>
          <cell r="Y11">
            <v>1</v>
          </cell>
          <cell r="Z11">
            <v>10</v>
          </cell>
          <cell r="AA11">
            <v>154.46011082663208</v>
          </cell>
          <cell r="AB11">
            <v>-159.02179269890496</v>
          </cell>
          <cell r="AC11">
            <v>99</v>
          </cell>
          <cell r="AD11">
            <v>-246.94986357025232</v>
          </cell>
          <cell r="AE11">
            <v>-105.28530044595095</v>
          </cell>
          <cell r="AF11">
            <v>-88</v>
          </cell>
          <cell r="AG11">
            <v>-88</v>
          </cell>
          <cell r="AI11">
            <v>-0.124627007809028</v>
          </cell>
          <cell r="AJ11">
            <v>-69.398867693195342</v>
          </cell>
          <cell r="AK11">
            <v>-47.191470436214587</v>
          </cell>
          <cell r="AL11">
            <v>-9900</v>
          </cell>
          <cell r="AM11">
            <v>99</v>
          </cell>
          <cell r="AN11">
            <v>-88</v>
          </cell>
          <cell r="AO11">
            <v>-12.4627007809028</v>
          </cell>
          <cell r="AP11">
            <v>-9900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</row>
        <row r="12">
          <cell r="C12" t="str">
            <v>ALIMOTOR</v>
          </cell>
          <cell r="D12" t="str">
            <v>ALICANTE</v>
          </cell>
          <cell r="E12" t="str">
            <v>FA</v>
          </cell>
          <cell r="F12" t="str">
            <v>NO</v>
          </cell>
          <cell r="G12">
            <v>204.42825718509971</v>
          </cell>
          <cell r="H12">
            <v>518.58930438859045</v>
          </cell>
          <cell r="I12">
            <v>1826.5238661906651</v>
          </cell>
          <cell r="J12">
            <v>488.80314449533017</v>
          </cell>
          <cell r="K12">
            <v>528.66827737910648</v>
          </cell>
          <cell r="L12">
            <v>1738.102965393723</v>
          </cell>
          <cell r="M12">
            <v>311.79305951221858</v>
          </cell>
          <cell r="N12">
            <v>0</v>
          </cell>
          <cell r="O12">
            <v>459.78026997463729</v>
          </cell>
          <cell r="P12">
            <v>0</v>
          </cell>
          <cell r="Q12">
            <v>0</v>
          </cell>
          <cell r="R12">
            <v>8573.5698916976198</v>
          </cell>
          <cell r="S12">
            <v>165.67499669443342</v>
          </cell>
          <cell r="T12">
            <v>66.465928623802483</v>
          </cell>
          <cell r="U12" t="str">
            <v>B</v>
          </cell>
          <cell r="V12">
            <v>0</v>
          </cell>
          <cell r="W12">
            <v>1</v>
          </cell>
          <cell r="X12">
            <v>0</v>
          </cell>
          <cell r="Y12">
            <v>0</v>
          </cell>
          <cell r="Z12">
            <v>508</v>
          </cell>
          <cell r="AA12">
            <v>636.03307970622541</v>
          </cell>
          <cell r="AB12">
            <v>459.78026997463729</v>
          </cell>
          <cell r="AC12">
            <v>1.3833413942301411</v>
          </cell>
          <cell r="AD12">
            <v>282.7701849915257</v>
          </cell>
          <cell r="AE12">
            <v>607.01020518553241</v>
          </cell>
          <cell r="AF12">
            <v>46.584090774074731</v>
          </cell>
          <cell r="AG12">
            <v>46.584090774074731</v>
          </cell>
          <cell r="AI12">
            <v>1.9323922098642709E-2</v>
          </cell>
          <cell r="AJ12">
            <v>66.465928623802483</v>
          </cell>
          <cell r="AK12">
            <v>165.67499669443342</v>
          </cell>
          <cell r="AL12">
            <v>40.118261626641512</v>
          </cell>
          <cell r="AM12">
            <v>1.3833413942301411</v>
          </cell>
          <cell r="AN12">
            <v>46.584090774074731</v>
          </cell>
          <cell r="AO12">
            <v>1.932392209864271</v>
          </cell>
          <cell r="AP12">
            <v>40.118261626641512</v>
          </cell>
          <cell r="AQ12">
            <v>20.208232572123237</v>
          </cell>
          <cell r="AR12">
            <v>18.292045387037366</v>
          </cell>
          <cell r="AS12">
            <v>6.2159480657618058</v>
          </cell>
          <cell r="AT12">
            <v>10.059130813320756</v>
          </cell>
          <cell r="AU12">
            <v>54.775356838243162</v>
          </cell>
        </row>
        <row r="13">
          <cell r="C13" t="str">
            <v>ALONSO VARA M.</v>
          </cell>
          <cell r="D13" t="str">
            <v>ZAMORA</v>
          </cell>
          <cell r="E13" t="str">
            <v>FLA</v>
          </cell>
          <cell r="F13" t="str">
            <v>NO</v>
          </cell>
          <cell r="G13">
            <v>22.231437741156107</v>
          </cell>
          <cell r="H13">
            <v>117.59402834373084</v>
          </cell>
          <cell r="I13">
            <v>1661.834529347421</v>
          </cell>
          <cell r="J13">
            <v>141.40612791941629</v>
          </cell>
          <cell r="K13">
            <v>48.080968350702584</v>
          </cell>
          <cell r="L13">
            <v>1430.0121404445085</v>
          </cell>
          <cell r="M13">
            <v>0</v>
          </cell>
          <cell r="N13">
            <v>264.44532592886424</v>
          </cell>
          <cell r="O13">
            <v>200.52768862764896</v>
          </cell>
          <cell r="P13">
            <v>0</v>
          </cell>
          <cell r="Q13">
            <v>0</v>
          </cell>
          <cell r="R13">
            <v>4257.5697474547142</v>
          </cell>
          <cell r="S13">
            <v>39.191999326866444</v>
          </cell>
          <cell r="T13">
            <v>12.33877850299905</v>
          </cell>
          <cell r="U13" t="str">
            <v>B</v>
          </cell>
          <cell r="V13">
            <v>0</v>
          </cell>
          <cell r="W13">
            <v>1</v>
          </cell>
          <cell r="X13">
            <v>0</v>
          </cell>
          <cell r="Y13">
            <v>0</v>
          </cell>
          <cell r="Z13">
            <v>239</v>
          </cell>
          <cell r="AA13">
            <v>25.849530609546477</v>
          </cell>
          <cell r="AB13">
            <v>200.52768862764896</v>
          </cell>
          <cell r="AC13">
            <v>0.1289075378390529</v>
          </cell>
          <cell r="AD13">
            <v>323.5668866370969</v>
          </cell>
          <cell r="AE13">
            <v>349.41641724664328</v>
          </cell>
          <cell r="AF13">
            <v>92.602084695035984</v>
          </cell>
          <cell r="AG13">
            <v>92.602084695035984</v>
          </cell>
          <cell r="AI13">
            <v>9.2052512704686607E-3</v>
          </cell>
          <cell r="AJ13">
            <v>12.33877850299905</v>
          </cell>
          <cell r="AK13">
            <v>39.191999326866444</v>
          </cell>
          <cell r="AL13">
            <v>31.482901395491485</v>
          </cell>
          <cell r="AM13">
            <v>0.1289075378390529</v>
          </cell>
          <cell r="AN13">
            <v>92.602084695035984</v>
          </cell>
          <cell r="AO13">
            <v>0.92052512704686607</v>
          </cell>
          <cell r="AP13">
            <v>31.482901395491485</v>
          </cell>
          <cell r="AQ13">
            <v>25</v>
          </cell>
          <cell r="AR13">
            <v>20</v>
          </cell>
          <cell r="AS13">
            <v>0</v>
          </cell>
          <cell r="AT13">
            <v>5.7414506977457425</v>
          </cell>
          <cell r="AU13">
            <v>50.741450697745741</v>
          </cell>
        </row>
        <row r="14">
          <cell r="C14" t="str">
            <v>ANDALCAR MOTOR</v>
          </cell>
          <cell r="D14" t="str">
            <v>CORDOBA</v>
          </cell>
          <cell r="E14" t="str">
            <v>FLA</v>
          </cell>
          <cell r="F14" t="str">
            <v>NO</v>
          </cell>
          <cell r="G14">
            <v>478.80831319942786</v>
          </cell>
          <cell r="H14">
            <v>1857.139422787975</v>
          </cell>
          <cell r="I14">
            <v>6221.3767985287222</v>
          </cell>
          <cell r="J14">
            <v>1196.3085836548748</v>
          </cell>
          <cell r="K14">
            <v>750.4717945019413</v>
          </cell>
          <cell r="L14">
            <v>6952.1414061279193</v>
          </cell>
          <cell r="M14">
            <v>151.63535393602828</v>
          </cell>
          <cell r="N14">
            <v>0</v>
          </cell>
          <cell r="O14">
            <v>1899.384563605111</v>
          </cell>
          <cell r="P14">
            <v>0</v>
          </cell>
          <cell r="Q14">
            <v>0</v>
          </cell>
          <cell r="R14">
            <v>7864.3575781616246</v>
          </cell>
          <cell r="S14">
            <v>-600.97604365751931</v>
          </cell>
          <cell r="T14">
            <v>-646.38851826475786</v>
          </cell>
          <cell r="U14" t="str">
            <v>B</v>
          </cell>
          <cell r="V14">
            <v>0</v>
          </cell>
          <cell r="W14">
            <v>1</v>
          </cell>
          <cell r="X14">
            <v>0</v>
          </cell>
          <cell r="Y14">
            <v>0</v>
          </cell>
          <cell r="Z14">
            <v>669</v>
          </cell>
          <cell r="AA14">
            <v>423.29883523854176</v>
          </cell>
          <cell r="AB14">
            <v>1899.384563605111</v>
          </cell>
          <cell r="AC14">
            <v>0.22286104844145038</v>
          </cell>
          <cell r="AD14">
            <v>854.71133388626458</v>
          </cell>
          <cell r="AE14">
            <v>1126.3748151887776</v>
          </cell>
          <cell r="AF14">
            <v>75.881609066606941</v>
          </cell>
          <cell r="AG14">
            <v>75.881609066606941</v>
          </cell>
          <cell r="AI14">
            <v>-7.6417690534107643E-2</v>
          </cell>
          <cell r="AJ14">
            <v>-18</v>
          </cell>
          <cell r="AK14">
            <v>-18</v>
          </cell>
          <cell r="AL14">
            <v>-9900</v>
          </cell>
          <cell r="AM14">
            <v>0.22286104844145038</v>
          </cell>
          <cell r="AN14">
            <v>75.881609066606941</v>
          </cell>
          <cell r="AO14">
            <v>-7.6417690534107647</v>
          </cell>
          <cell r="AP14">
            <v>-9900</v>
          </cell>
          <cell r="AQ14">
            <v>25</v>
          </cell>
          <cell r="AR14">
            <v>20</v>
          </cell>
          <cell r="AS14">
            <v>0</v>
          </cell>
          <cell r="AT14">
            <v>0</v>
          </cell>
          <cell r="AU14">
            <v>45</v>
          </cell>
        </row>
        <row r="15">
          <cell r="C15" t="str">
            <v>A.NAVARRO</v>
          </cell>
          <cell r="D15" t="str">
            <v>LORCA</v>
          </cell>
          <cell r="E15" t="str">
            <v>F</v>
          </cell>
          <cell r="F15" t="str">
            <v>NO</v>
          </cell>
          <cell r="G15">
            <v>45.31030254949335</v>
          </cell>
          <cell r="H15">
            <v>179.98509489981129</v>
          </cell>
          <cell r="I15">
            <v>999.88580770016711</v>
          </cell>
          <cell r="J15">
            <v>323.69910930006131</v>
          </cell>
          <cell r="K15">
            <v>69.693363624343391</v>
          </cell>
          <cell r="L15">
            <v>1218.0592117125238</v>
          </cell>
          <cell r="M15">
            <v>45.268231702186483</v>
          </cell>
          <cell r="N15">
            <v>0</v>
          </cell>
          <cell r="O15">
            <v>215.85950741047924</v>
          </cell>
          <cell r="P15">
            <v>0</v>
          </cell>
          <cell r="Q15">
            <v>0</v>
          </cell>
          <cell r="R15">
            <v>2665.9214116572307</v>
          </cell>
          <cell r="S15">
            <v>26.570745134807016</v>
          </cell>
          <cell r="T15">
            <v>19.689156539612707</v>
          </cell>
          <cell r="U15" t="str">
            <v>B</v>
          </cell>
          <cell r="V15">
            <v>0</v>
          </cell>
          <cell r="W15">
            <v>1</v>
          </cell>
          <cell r="X15">
            <v>0</v>
          </cell>
          <cell r="Y15">
            <v>0</v>
          </cell>
          <cell r="Z15">
            <v>127</v>
          </cell>
          <cell r="AA15">
            <v>69.651292777036531</v>
          </cell>
          <cell r="AB15">
            <v>215.85950741047924</v>
          </cell>
          <cell r="AC15">
            <v>0.32266956231206151</v>
          </cell>
          <cell r="AD15">
            <v>-62.571370187395587</v>
          </cell>
          <cell r="AE15">
            <v>-38.188309112545539</v>
          </cell>
          <cell r="AF15">
            <v>-88</v>
          </cell>
          <cell r="AG15">
            <v>-88</v>
          </cell>
          <cell r="AI15">
            <v>9.9668148575654016E-3</v>
          </cell>
          <cell r="AJ15">
            <v>19.689156539612707</v>
          </cell>
          <cell r="AK15">
            <v>26.570745134807016</v>
          </cell>
          <cell r="AL15">
            <v>74.100882153358967</v>
          </cell>
          <cell r="AM15">
            <v>0.32266956231206151</v>
          </cell>
          <cell r="AN15">
            <v>-88</v>
          </cell>
          <cell r="AO15">
            <v>0.99668148575654014</v>
          </cell>
          <cell r="AP15">
            <v>74.100882153358967</v>
          </cell>
          <cell r="AQ15">
            <v>25</v>
          </cell>
          <cell r="AR15">
            <v>0</v>
          </cell>
          <cell r="AS15">
            <v>0</v>
          </cell>
          <cell r="AT15">
            <v>15</v>
          </cell>
          <cell r="AU15">
            <v>40</v>
          </cell>
        </row>
        <row r="16">
          <cell r="C16" t="str">
            <v>APV MOTOR</v>
          </cell>
          <cell r="D16" t="str">
            <v>SANTIAGO DE COMPOSTELA</v>
          </cell>
          <cell r="E16" t="str">
            <v>A</v>
          </cell>
          <cell r="F16" t="str">
            <v>NO</v>
          </cell>
          <cell r="G16">
            <v>183.40485377375501</v>
          </cell>
          <cell r="H16">
            <v>231.63006502950969</v>
          </cell>
          <cell r="I16">
            <v>417.24063322635317</v>
          </cell>
          <cell r="J16">
            <v>22.958662387460485</v>
          </cell>
          <cell r="K16">
            <v>0</v>
          </cell>
          <cell r="L16">
            <v>717.33799718726334</v>
          </cell>
          <cell r="M16">
            <v>0</v>
          </cell>
          <cell r="N16">
            <v>0</v>
          </cell>
          <cell r="O16">
            <v>137.89621722981502</v>
          </cell>
          <cell r="P16">
            <v>0</v>
          </cell>
          <cell r="Q16">
            <v>0</v>
          </cell>
          <cell r="R16">
            <v>1731.5339030928083</v>
          </cell>
          <cell r="S16">
            <v>10.511701705672353</v>
          </cell>
          <cell r="T16">
            <v>-6.1363335857584174</v>
          </cell>
          <cell r="U16" t="str">
            <v>C</v>
          </cell>
          <cell r="V16">
            <v>0</v>
          </cell>
          <cell r="W16">
            <v>0</v>
          </cell>
          <cell r="X16">
            <v>1</v>
          </cell>
          <cell r="Y16">
            <v>0</v>
          </cell>
          <cell r="Z16">
            <v>71</v>
          </cell>
          <cell r="AA16">
            <v>-183.40485377375501</v>
          </cell>
          <cell r="AB16">
            <v>137.89621722981502</v>
          </cell>
          <cell r="AC16">
            <v>0</v>
          </cell>
          <cell r="AD16">
            <v>114.93755484235453</v>
          </cell>
          <cell r="AE16">
            <v>-68.467298931400478</v>
          </cell>
          <cell r="AF16" t="str">
            <v>to check</v>
          </cell>
          <cell r="AG16">
            <v>15</v>
          </cell>
          <cell r="AH16">
            <v>15</v>
          </cell>
          <cell r="AI16">
            <v>6.0707455319798827E-3</v>
          </cell>
          <cell r="AJ16">
            <v>-6.1363335857584174</v>
          </cell>
          <cell r="AK16">
            <v>10.511701705672353</v>
          </cell>
          <cell r="AL16">
            <v>-58.376214979988561</v>
          </cell>
          <cell r="AM16">
            <v>0</v>
          </cell>
          <cell r="AN16">
            <v>15</v>
          </cell>
          <cell r="AO16">
            <v>0.60707455319798831</v>
          </cell>
          <cell r="AP16">
            <v>-58.376214979988561</v>
          </cell>
          <cell r="AQ16">
            <v>25</v>
          </cell>
          <cell r="AR16">
            <v>2.5</v>
          </cell>
          <cell r="AS16">
            <v>0</v>
          </cell>
          <cell r="AT16">
            <v>0</v>
          </cell>
          <cell r="AU16">
            <v>27.5</v>
          </cell>
        </row>
        <row r="17">
          <cell r="C17" t="str">
            <v>ARANZAUTO</v>
          </cell>
          <cell r="D17" t="str">
            <v>ZARAGOZA</v>
          </cell>
          <cell r="E17" t="str">
            <v>F</v>
          </cell>
          <cell r="F17" t="str">
            <v>NO</v>
          </cell>
          <cell r="G17">
            <v>21.666486363035354</v>
          </cell>
          <cell r="H17">
            <v>1003.113242700708</v>
          </cell>
          <cell r="I17">
            <v>5784.2066039210031</v>
          </cell>
          <cell r="J17">
            <v>3623.045208130492</v>
          </cell>
          <cell r="K17">
            <v>216.97738992463309</v>
          </cell>
          <cell r="L17">
            <v>8242.0876756457874</v>
          </cell>
          <cell r="M17">
            <v>719.95239984133286</v>
          </cell>
          <cell r="N17">
            <v>40.237760388494223</v>
          </cell>
          <cell r="O17">
            <v>1212.7763153149904</v>
          </cell>
          <cell r="P17">
            <v>0</v>
          </cell>
          <cell r="Q17">
            <v>0</v>
          </cell>
          <cell r="R17">
            <v>19231.215366677487</v>
          </cell>
          <cell r="S17">
            <v>494.57887081845831</v>
          </cell>
          <cell r="T17">
            <v>387.98336398495064</v>
          </cell>
          <cell r="U17" t="str">
            <v>B</v>
          </cell>
          <cell r="V17">
            <v>0</v>
          </cell>
          <cell r="W17">
            <v>1</v>
          </cell>
          <cell r="X17">
            <v>0</v>
          </cell>
          <cell r="Y17">
            <v>0</v>
          </cell>
          <cell r="Z17">
            <v>1244</v>
          </cell>
          <cell r="AA17">
            <v>915.26330340293066</v>
          </cell>
          <cell r="AB17">
            <v>1212.7763153149904</v>
          </cell>
          <cell r="AC17">
            <v>0.75468434850264399</v>
          </cell>
          <cell r="AD17">
            <v>-1650.0787325856745</v>
          </cell>
          <cell r="AE17">
            <v>-1454.7678290240765</v>
          </cell>
          <cell r="AF17">
            <v>-88</v>
          </cell>
          <cell r="AG17">
            <v>-88</v>
          </cell>
          <cell r="AI17">
            <v>2.5717504660440246E-2</v>
          </cell>
          <cell r="AJ17">
            <v>387.98336398495064</v>
          </cell>
          <cell r="AK17">
            <v>494.57887081845831</v>
          </cell>
          <cell r="AL17">
            <v>78.447217800245454</v>
          </cell>
          <cell r="AM17">
            <v>0.75468434850264399</v>
          </cell>
          <cell r="AN17">
            <v>-88</v>
          </cell>
          <cell r="AO17">
            <v>2.5717504660440245</v>
          </cell>
          <cell r="AP17">
            <v>78.447217800245454</v>
          </cell>
          <cell r="AQ17">
            <v>25</v>
          </cell>
          <cell r="AR17">
            <v>0</v>
          </cell>
          <cell r="AS17">
            <v>10.478336440293496</v>
          </cell>
          <cell r="AT17">
            <v>15</v>
          </cell>
          <cell r="AU17">
            <v>50.478336440293496</v>
          </cell>
        </row>
        <row r="18">
          <cell r="C18" t="str">
            <v>ASCAUTO</v>
          </cell>
          <cell r="D18" t="str">
            <v>MOSTOLES</v>
          </cell>
          <cell r="E18" t="str">
            <v>FLA</v>
          </cell>
          <cell r="F18" t="str">
            <v>NO</v>
          </cell>
          <cell r="G18">
            <v>157.54330292212086</v>
          </cell>
          <cell r="H18">
            <v>2339.3314341350833</v>
          </cell>
          <cell r="I18">
            <v>3717.061531619247</v>
          </cell>
          <cell r="J18">
            <v>1960.56759583138</v>
          </cell>
          <cell r="K18">
            <v>1041.2594809659468</v>
          </cell>
          <cell r="L18">
            <v>5652.0139915617901</v>
          </cell>
          <cell r="M18">
            <v>857.82457658697251</v>
          </cell>
          <cell r="N18">
            <v>1.1479331193730242</v>
          </cell>
          <cell r="O18">
            <v>622.25788227374903</v>
          </cell>
          <cell r="P18">
            <v>0</v>
          </cell>
          <cell r="Q18">
            <v>0</v>
          </cell>
          <cell r="R18">
            <v>17991.573810296541</v>
          </cell>
          <cell r="S18">
            <v>371.97841164521054</v>
          </cell>
          <cell r="T18">
            <v>216.59274217782746</v>
          </cell>
          <cell r="U18" t="str">
            <v>C</v>
          </cell>
          <cell r="V18">
            <v>0</v>
          </cell>
          <cell r="W18">
            <v>0</v>
          </cell>
          <cell r="X18">
            <v>1</v>
          </cell>
          <cell r="Y18">
            <v>0</v>
          </cell>
          <cell r="Z18">
            <v>834</v>
          </cell>
          <cell r="AA18">
            <v>1741.5407546307983</v>
          </cell>
          <cell r="AB18">
            <v>622.25788227374903</v>
          </cell>
          <cell r="AC18">
            <v>2.7987443859564398</v>
          </cell>
          <cell r="AD18">
            <v>-479.33720385128527</v>
          </cell>
          <cell r="AE18">
            <v>404.37897419254023</v>
          </cell>
          <cell r="AF18">
            <v>-118.53662886613255</v>
          </cell>
          <cell r="AG18">
            <v>-118.53662886613255</v>
          </cell>
          <cell r="AI18">
            <v>2.067514579699126E-2</v>
          </cell>
          <cell r="AJ18">
            <v>216.59274217782746</v>
          </cell>
          <cell r="AK18">
            <v>371.97841164521054</v>
          </cell>
          <cell r="AL18">
            <v>58.227234537581595</v>
          </cell>
          <cell r="AM18">
            <v>2.7987443859564398</v>
          </cell>
          <cell r="AN18">
            <v>-118.53662886613255</v>
          </cell>
          <cell r="AO18">
            <v>2.0675145796991261</v>
          </cell>
          <cell r="AP18">
            <v>58.227234537581595</v>
          </cell>
          <cell r="AQ18">
            <v>2.5156951755445025</v>
          </cell>
          <cell r="AR18">
            <v>0</v>
          </cell>
          <cell r="AS18">
            <v>7.1167638646608413</v>
          </cell>
          <cell r="AT18">
            <v>15</v>
          </cell>
          <cell r="AU18">
            <v>24.632459040205344</v>
          </cell>
        </row>
        <row r="19">
          <cell r="C19" t="str">
            <v>AUTO BRAVA</v>
          </cell>
          <cell r="D19" t="str">
            <v>BLANES</v>
          </cell>
          <cell r="E19" t="str">
            <v>FA</v>
          </cell>
          <cell r="F19" t="str">
            <v>NO</v>
          </cell>
          <cell r="G19">
            <v>214.0083901289772</v>
          </cell>
          <cell r="H19">
            <v>254.97337516377581</v>
          </cell>
          <cell r="I19">
            <v>1313.1453367470822</v>
          </cell>
          <cell r="J19">
            <v>558.47246763549822</v>
          </cell>
          <cell r="K19">
            <v>60.696212421718172</v>
          </cell>
          <cell r="L19">
            <v>1701.2729436370848</v>
          </cell>
          <cell r="M19">
            <v>123.8806149555852</v>
          </cell>
          <cell r="N19">
            <v>9.015181565756734</v>
          </cell>
          <cell r="O19">
            <v>445.7346170951883</v>
          </cell>
          <cell r="P19">
            <v>0</v>
          </cell>
          <cell r="Q19">
            <v>0</v>
          </cell>
          <cell r="R19">
            <v>6425.6187419614635</v>
          </cell>
          <cell r="S19">
            <v>88.595194307213347</v>
          </cell>
          <cell r="T19">
            <v>56.92185640618802</v>
          </cell>
          <cell r="U19" t="str">
            <v>B</v>
          </cell>
          <cell r="V19">
            <v>0</v>
          </cell>
          <cell r="W19">
            <v>1</v>
          </cell>
          <cell r="X19">
            <v>0</v>
          </cell>
          <cell r="Y19">
            <v>0</v>
          </cell>
          <cell r="Z19">
            <v>416</v>
          </cell>
          <cell r="AA19">
            <v>-29.431562751673823</v>
          </cell>
          <cell r="AB19">
            <v>445.7346170951883</v>
          </cell>
          <cell r="AC19">
            <v>0</v>
          </cell>
          <cell r="AD19">
            <v>20.157945981031958</v>
          </cell>
          <cell r="AE19">
            <v>-133.15423172622673</v>
          </cell>
          <cell r="AF19" t="str">
            <v>to check</v>
          </cell>
          <cell r="AG19">
            <v>25</v>
          </cell>
          <cell r="AH19">
            <v>25</v>
          </cell>
          <cell r="AI19">
            <v>1.3787807503837221E-2</v>
          </cell>
          <cell r="AJ19">
            <v>56.92185640618802</v>
          </cell>
          <cell r="AK19">
            <v>88.595194307213347</v>
          </cell>
          <cell r="AL19">
            <v>64.249372498473647</v>
          </cell>
          <cell r="AM19">
            <v>0</v>
          </cell>
          <cell r="AN19">
            <v>25</v>
          </cell>
          <cell r="AO19">
            <v>1.3787807503837222</v>
          </cell>
          <cell r="AP19">
            <v>64.249372498473647</v>
          </cell>
          <cell r="AQ19">
            <v>25</v>
          </cell>
          <cell r="AR19">
            <v>7.5</v>
          </cell>
          <cell r="AS19">
            <v>2.5252050025581481</v>
          </cell>
          <cell r="AT19">
            <v>15</v>
          </cell>
          <cell r="AU19">
            <v>50.025205002558145</v>
          </cell>
        </row>
        <row r="20">
          <cell r="C20" t="str">
            <v>AUTO FORMULA</v>
          </cell>
          <cell r="D20" t="str">
            <v>BURGOS</v>
          </cell>
          <cell r="E20" t="str">
            <v>FA</v>
          </cell>
          <cell r="F20" t="str">
            <v>NO</v>
          </cell>
          <cell r="G20">
            <v>85.025182407173688</v>
          </cell>
          <cell r="H20">
            <v>337.6786508480281</v>
          </cell>
          <cell r="I20">
            <v>2203.6349212073133</v>
          </cell>
          <cell r="J20">
            <v>713.41338814563733</v>
          </cell>
          <cell r="K20">
            <v>584.68260550767491</v>
          </cell>
          <cell r="L20">
            <v>1980.6774608440614</v>
          </cell>
          <cell r="M20">
            <v>82.122293943000017</v>
          </cell>
          <cell r="N20">
            <v>0</v>
          </cell>
          <cell r="O20">
            <v>692.26978231341582</v>
          </cell>
          <cell r="P20">
            <v>0</v>
          </cell>
          <cell r="Q20">
            <v>0</v>
          </cell>
          <cell r="R20">
            <v>8539.9132138521272</v>
          </cell>
          <cell r="S20">
            <v>107.10636712223385</v>
          </cell>
          <cell r="T20">
            <v>50.076328537256742</v>
          </cell>
          <cell r="U20" t="str">
            <v>B</v>
          </cell>
          <cell r="V20">
            <v>0</v>
          </cell>
          <cell r="W20">
            <v>1</v>
          </cell>
          <cell r="X20">
            <v>0</v>
          </cell>
          <cell r="Y20">
            <v>0</v>
          </cell>
          <cell r="Z20">
            <v>421</v>
          </cell>
          <cell r="AA20">
            <v>581.77971704350125</v>
          </cell>
          <cell r="AB20">
            <v>692.26978231341582</v>
          </cell>
          <cell r="AC20">
            <v>0.84039449923600495</v>
          </cell>
          <cell r="AD20">
            <v>60.978688110778535</v>
          </cell>
          <cell r="AE20">
            <v>560.63611121127997</v>
          </cell>
          <cell r="AF20">
            <v>10.876696468772105</v>
          </cell>
          <cell r="AG20">
            <v>10.876696468772105</v>
          </cell>
          <cell r="AI20">
            <v>1.2541856625486833E-2</v>
          </cell>
          <cell r="AJ20">
            <v>50.076328537256742</v>
          </cell>
          <cell r="AK20">
            <v>107.10636712223385</v>
          </cell>
          <cell r="AL20">
            <v>46.753829751416866</v>
          </cell>
          <cell r="AM20">
            <v>0.84039449923600495</v>
          </cell>
          <cell r="AN20">
            <v>10.876696468772105</v>
          </cell>
          <cell r="AO20">
            <v>1.2541856625486834</v>
          </cell>
          <cell r="AP20">
            <v>46.753829751416866</v>
          </cell>
          <cell r="AQ20">
            <v>25</v>
          </cell>
          <cell r="AR20">
            <v>0.4383482343860523</v>
          </cell>
          <cell r="AS20">
            <v>1.6945710836578889</v>
          </cell>
          <cell r="AT20">
            <v>13.376914875708433</v>
          </cell>
          <cell r="AU20">
            <v>40.509834193752368</v>
          </cell>
        </row>
        <row r="21">
          <cell r="C21" t="str">
            <v>AUTOLATINA</v>
          </cell>
          <cell r="D21" t="str">
            <v>PALMA DE MALLORCA</v>
          </cell>
          <cell r="E21" t="str">
            <v>FLA</v>
          </cell>
          <cell r="F21" t="str">
            <v>NO</v>
          </cell>
          <cell r="G21">
            <v>573.90044835502988</v>
          </cell>
          <cell r="H21">
            <v>1113.6093180916664</v>
          </cell>
          <cell r="I21">
            <v>4402.7322010265289</v>
          </cell>
          <cell r="J21">
            <v>1760.1841501087833</v>
          </cell>
          <cell r="K21">
            <v>645.52306083444523</v>
          </cell>
          <cell r="L21">
            <v>5061.2731840419265</v>
          </cell>
          <cell r="M21">
            <v>523.36735061844149</v>
          </cell>
          <cell r="N21">
            <v>119.08453836260263</v>
          </cell>
          <cell r="O21">
            <v>1501.1779837245922</v>
          </cell>
          <cell r="P21">
            <v>0</v>
          </cell>
          <cell r="Q21">
            <v>0</v>
          </cell>
          <cell r="R21">
            <v>19472.539756950704</v>
          </cell>
          <cell r="S21">
            <v>339.04294832497925</v>
          </cell>
          <cell r="T21">
            <v>182.53939634344235</v>
          </cell>
          <cell r="U21" t="str">
            <v>A</v>
          </cell>
          <cell r="V21">
            <v>1</v>
          </cell>
          <cell r="W21">
            <v>0</v>
          </cell>
          <cell r="X21">
            <v>0</v>
          </cell>
          <cell r="Y21">
            <v>0</v>
          </cell>
          <cell r="Z21">
            <v>1423</v>
          </cell>
          <cell r="AA21">
            <v>594.98996309785696</v>
          </cell>
          <cell r="AB21">
            <v>1501.1779837245922</v>
          </cell>
          <cell r="AC21">
            <v>0.39634871384245834</v>
          </cell>
          <cell r="AD21">
            <v>383.4457225968531</v>
          </cell>
          <cell r="AE21">
            <v>455.06833507626925</v>
          </cell>
          <cell r="AF21">
            <v>84.261130261367839</v>
          </cell>
          <cell r="AG21">
            <v>84.261130261367839</v>
          </cell>
          <cell r="AI21">
            <v>1.7411336813625361E-2</v>
          </cell>
          <cell r="AJ21">
            <v>182.53939634344235</v>
          </cell>
          <cell r="AK21">
            <v>339.04294832497925</v>
          </cell>
          <cell r="AL21">
            <v>53.839608593916189</v>
          </cell>
          <cell r="AM21">
            <v>0.39634871384245834</v>
          </cell>
          <cell r="AN21">
            <v>84.261130261367839</v>
          </cell>
          <cell r="AO21">
            <v>1.7411336813625362</v>
          </cell>
          <cell r="AP21">
            <v>53.839608593916189</v>
          </cell>
          <cell r="AQ21">
            <v>25</v>
          </cell>
          <cell r="AR21">
            <v>20</v>
          </cell>
          <cell r="AS21">
            <v>4.940891209083575</v>
          </cell>
          <cell r="AT21">
            <v>15</v>
          </cell>
          <cell r="AU21">
            <v>64.940891209083574</v>
          </cell>
        </row>
        <row r="22">
          <cell r="C22" t="str">
            <v>AUTO 88</v>
          </cell>
          <cell r="D22" t="str">
            <v>BARCELONA</v>
          </cell>
          <cell r="E22" t="str">
            <v>FLA</v>
          </cell>
          <cell r="F22" t="str">
            <v>NO</v>
          </cell>
          <cell r="G22">
            <v>607.48500474799562</v>
          </cell>
          <cell r="H22">
            <v>2238.7760989506328</v>
          </cell>
          <cell r="I22">
            <v>5341.6032598896545</v>
          </cell>
          <cell r="J22">
            <v>2006.3106270960297</v>
          </cell>
          <cell r="K22">
            <v>1766.7832630149171</v>
          </cell>
          <cell r="L22">
            <v>5827.1849795054877</v>
          </cell>
          <cell r="M22">
            <v>175.71790895868642</v>
          </cell>
          <cell r="N22">
            <v>7.2121452526053877</v>
          </cell>
          <cell r="O22">
            <v>2417.2766939526164</v>
          </cell>
          <cell r="P22">
            <v>0</v>
          </cell>
          <cell r="Q22">
            <v>0</v>
          </cell>
          <cell r="R22">
            <v>25315.254889233471</v>
          </cell>
          <cell r="S22">
            <v>202.08430997800295</v>
          </cell>
          <cell r="T22">
            <v>100.92796268916857</v>
          </cell>
          <cell r="U22" t="str">
            <v>B</v>
          </cell>
          <cell r="V22">
            <v>0</v>
          </cell>
          <cell r="W22">
            <v>1</v>
          </cell>
          <cell r="X22">
            <v>0</v>
          </cell>
          <cell r="Y22">
            <v>0</v>
          </cell>
          <cell r="Z22">
            <v>1494</v>
          </cell>
          <cell r="AA22">
            <v>1335.0161672256079</v>
          </cell>
          <cell r="AB22">
            <v>2417.2766939526164</v>
          </cell>
          <cell r="AC22">
            <v>0.5522810733936514</v>
          </cell>
          <cell r="AD22">
            <v>593.89612106787854</v>
          </cell>
          <cell r="AE22">
            <v>1753.1943793348</v>
          </cell>
          <cell r="AF22">
            <v>33.875086987970818</v>
          </cell>
          <cell r="AG22">
            <v>33.875086987970818</v>
          </cell>
          <cell r="AI22">
            <v>7.9827088789830442E-3</v>
          </cell>
          <cell r="AJ22">
            <v>100.92796268916857</v>
          </cell>
          <cell r="AK22">
            <v>202.08430997800295</v>
          </cell>
          <cell r="AL22">
            <v>49.943492743278618</v>
          </cell>
          <cell r="AM22">
            <v>0.5522810733936514</v>
          </cell>
          <cell r="AN22">
            <v>33.875086987970818</v>
          </cell>
          <cell r="AO22">
            <v>0.79827088789830447</v>
          </cell>
          <cell r="AP22">
            <v>49.943492743278618</v>
          </cell>
          <cell r="AQ22">
            <v>25</v>
          </cell>
          <cell r="AR22">
            <v>11.937543493985409</v>
          </cell>
          <cell r="AS22">
            <v>0</v>
          </cell>
          <cell r="AT22">
            <v>14.971746371639309</v>
          </cell>
          <cell r="AU22">
            <v>51.909289865624714</v>
          </cell>
        </row>
        <row r="23">
          <cell r="C23" t="str">
            <v>AUTO PUNTO</v>
          </cell>
          <cell r="D23" t="str">
            <v>JAEN</v>
          </cell>
          <cell r="E23" t="str">
            <v>FA</v>
          </cell>
          <cell r="F23" t="str">
            <v>NO</v>
          </cell>
          <cell r="G23">
            <v>249.24572980899836</v>
          </cell>
          <cell r="H23">
            <v>160.82482901205631</v>
          </cell>
          <cell r="I23">
            <v>1811.4564927337638</v>
          </cell>
          <cell r="J23">
            <v>774.78273412426529</v>
          </cell>
          <cell r="K23">
            <v>538.615027706658</v>
          </cell>
          <cell r="L23">
            <v>1982.6487805464403</v>
          </cell>
          <cell r="M23">
            <v>245.27303979902155</v>
          </cell>
          <cell r="N23">
            <v>0</v>
          </cell>
          <cell r="O23">
            <v>229.77293762696382</v>
          </cell>
          <cell r="P23">
            <v>0</v>
          </cell>
          <cell r="Q23">
            <v>0</v>
          </cell>
          <cell r="R23">
            <v>4700.4555671751232</v>
          </cell>
          <cell r="S23">
            <v>-24.48523313259529</v>
          </cell>
          <cell r="T23">
            <v>-88.997872417150489</v>
          </cell>
          <cell r="U23" t="str">
            <v>D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341</v>
          </cell>
          <cell r="AA23">
            <v>534.64233769668124</v>
          </cell>
          <cell r="AB23">
            <v>229.77293762696382</v>
          </cell>
          <cell r="AC23">
            <v>2.3268290131045486</v>
          </cell>
          <cell r="AD23">
            <v>-299.73675669827992</v>
          </cell>
          <cell r="AE23">
            <v>-10.36745880062017</v>
          </cell>
          <cell r="AF23">
            <v>-88</v>
          </cell>
          <cell r="AG23">
            <v>-88</v>
          </cell>
          <cell r="AI23">
            <v>-5.209119155084453E-3</v>
          </cell>
          <cell r="AJ23">
            <v>-88.997872417150489</v>
          </cell>
          <cell r="AK23">
            <v>-24.48523313259529</v>
          </cell>
          <cell r="AL23">
            <v>-9900</v>
          </cell>
          <cell r="AM23">
            <v>2.3268290131045486</v>
          </cell>
          <cell r="AN23">
            <v>-88</v>
          </cell>
          <cell r="AO23">
            <v>-0.52091191550844529</v>
          </cell>
          <cell r="AP23">
            <v>-9900</v>
          </cell>
          <cell r="AQ23">
            <v>8.4146373361931417</v>
          </cell>
          <cell r="AR23">
            <v>0</v>
          </cell>
          <cell r="AS23">
            <v>0</v>
          </cell>
          <cell r="AT23">
            <v>0</v>
          </cell>
          <cell r="AU23">
            <v>8.4146373361931417</v>
          </cell>
        </row>
        <row r="24">
          <cell r="C24" t="str">
            <v>AUTO REC UNION</v>
          </cell>
          <cell r="D24" t="str">
            <v>MAHON</v>
          </cell>
          <cell r="E24" t="str">
            <v>FA</v>
          </cell>
          <cell r="F24" t="str">
            <v>NO</v>
          </cell>
          <cell r="G24">
            <v>514.20191602658883</v>
          </cell>
          <cell r="H24">
            <v>99.912252232759968</v>
          </cell>
          <cell r="I24">
            <v>754.10190761241938</v>
          </cell>
          <cell r="J24">
            <v>146.7611457694758</v>
          </cell>
          <cell r="K24">
            <v>0</v>
          </cell>
          <cell r="L24">
            <v>813.18740759438901</v>
          </cell>
          <cell r="M24">
            <v>0</v>
          </cell>
          <cell r="N24">
            <v>2.3078864808337238</v>
          </cell>
          <cell r="O24">
            <v>699.48192756602123</v>
          </cell>
          <cell r="P24">
            <v>0</v>
          </cell>
          <cell r="Q24">
            <v>0</v>
          </cell>
          <cell r="R24">
            <v>3504.5075907828787</v>
          </cell>
          <cell r="S24">
            <v>45.316312670537187</v>
          </cell>
          <cell r="T24">
            <v>66.423857776495623</v>
          </cell>
          <cell r="U24" t="str">
            <v>A</v>
          </cell>
          <cell r="V24">
            <v>1</v>
          </cell>
          <cell r="W24">
            <v>0</v>
          </cell>
          <cell r="X24">
            <v>0</v>
          </cell>
          <cell r="Y24">
            <v>0</v>
          </cell>
          <cell r="Z24">
            <v>209</v>
          </cell>
          <cell r="AA24">
            <v>-514.20191602658883</v>
          </cell>
          <cell r="AB24">
            <v>699.48192756602123</v>
          </cell>
          <cell r="AC24">
            <v>0</v>
          </cell>
          <cell r="AD24">
            <v>555.02866827737921</v>
          </cell>
          <cell r="AE24">
            <v>40.826752250790378</v>
          </cell>
          <cell r="AF24">
            <v>1359.4729868982763</v>
          </cell>
          <cell r="AG24">
            <v>1359.4729868982763</v>
          </cell>
          <cell r="AI24">
            <v>1.2930864464303781E-2</v>
          </cell>
          <cell r="AJ24">
            <v>66.423857776495623</v>
          </cell>
          <cell r="AK24">
            <v>45.316312670537187</v>
          </cell>
          <cell r="AL24">
            <v>146.57824933687002</v>
          </cell>
          <cell r="AM24">
            <v>0</v>
          </cell>
          <cell r="AN24">
            <v>1359.4729868982763</v>
          </cell>
          <cell r="AO24">
            <v>1.2930864464303782</v>
          </cell>
          <cell r="AP24">
            <v>146.57824933687002</v>
          </cell>
          <cell r="AQ24">
            <v>25</v>
          </cell>
          <cell r="AR24">
            <v>20</v>
          </cell>
          <cell r="AS24">
            <v>1.953909642869188</v>
          </cell>
          <cell r="AT24">
            <v>15</v>
          </cell>
          <cell r="AU24">
            <v>61.953909642869185</v>
          </cell>
        </row>
        <row r="25">
          <cell r="C25" t="str">
            <v>AUTO SALON ALMERIA</v>
          </cell>
          <cell r="D25" t="str">
            <v>ALMERIA</v>
          </cell>
          <cell r="E25" t="str">
            <v>A</v>
          </cell>
          <cell r="F25" t="str">
            <v>NO</v>
          </cell>
          <cell r="G25">
            <v>219.80214681523685</v>
          </cell>
          <cell r="H25">
            <v>821.337131729833</v>
          </cell>
          <cell r="I25">
            <v>14.616614378613585</v>
          </cell>
          <cell r="J25">
            <v>173.93290300866659</v>
          </cell>
          <cell r="K25">
            <v>0</v>
          </cell>
          <cell r="L25">
            <v>147.27200605820201</v>
          </cell>
          <cell r="M25">
            <v>29.527724688375226</v>
          </cell>
          <cell r="N25">
            <v>0</v>
          </cell>
          <cell r="O25">
            <v>1052.8890651857728</v>
          </cell>
          <cell r="P25">
            <v>0</v>
          </cell>
          <cell r="R25">
            <v>67.277294964720596</v>
          </cell>
          <cell r="S25">
            <v>-130.38356592501773</v>
          </cell>
          <cell r="T25">
            <v>-132.53518925871168</v>
          </cell>
          <cell r="U25" t="str">
            <v>B</v>
          </cell>
          <cell r="V25">
            <v>0</v>
          </cell>
          <cell r="W25">
            <v>1</v>
          </cell>
          <cell r="X25">
            <v>0</v>
          </cell>
          <cell r="Y25">
            <v>0</v>
          </cell>
          <cell r="Z25">
            <v>0</v>
          </cell>
          <cell r="AA25">
            <v>-190.27442212686162</v>
          </cell>
          <cell r="AB25">
            <v>1052.8890651857728</v>
          </cell>
          <cell r="AC25">
            <v>0</v>
          </cell>
          <cell r="AD25">
            <v>908.4838868654814</v>
          </cell>
          <cell r="AE25">
            <v>688.68174005024457</v>
          </cell>
          <cell r="AF25">
            <v>131.916360494646</v>
          </cell>
          <cell r="AG25">
            <v>131.916360494646</v>
          </cell>
          <cell r="AI25">
            <v>-1.9380025013400035</v>
          </cell>
          <cell r="AJ25">
            <v>-132.53518925871168</v>
          </cell>
          <cell r="AK25">
            <v>-130.38356592501773</v>
          </cell>
          <cell r="AL25">
            <v>-9900</v>
          </cell>
          <cell r="AM25">
            <v>0</v>
          </cell>
          <cell r="AN25">
            <v>131.916360494646</v>
          </cell>
          <cell r="AO25">
            <v>-193.80025013400035</v>
          </cell>
          <cell r="AP25">
            <v>-9900</v>
          </cell>
          <cell r="AQ25">
            <v>25</v>
          </cell>
          <cell r="AR25">
            <v>20</v>
          </cell>
          <cell r="AS25">
            <v>0</v>
          </cell>
          <cell r="AT25">
            <v>0</v>
          </cell>
          <cell r="AU25">
            <v>45</v>
          </cell>
        </row>
        <row r="26">
          <cell r="C26" t="str">
            <v>A.V.MANACOR</v>
          </cell>
          <cell r="D26" t="str">
            <v>MANACOR</v>
          </cell>
          <cell r="E26" t="str">
            <v>FLA</v>
          </cell>
          <cell r="F26" t="str">
            <v>NO</v>
          </cell>
          <cell r="G26">
            <v>375.30200858245286</v>
          </cell>
          <cell r="H26">
            <v>889.04114528866614</v>
          </cell>
          <cell r="I26">
            <v>2686.7705215583042</v>
          </cell>
          <cell r="J26">
            <v>921.30347505198756</v>
          </cell>
          <cell r="K26">
            <v>141.04552065678604</v>
          </cell>
          <cell r="L26">
            <v>3277.5834505306939</v>
          </cell>
          <cell r="M26">
            <v>0</v>
          </cell>
          <cell r="N26">
            <v>6.5750724219585788</v>
          </cell>
          <cell r="O26">
            <v>1447.2131068719725</v>
          </cell>
          <cell r="P26">
            <v>0</v>
          </cell>
          <cell r="Q26">
            <v>0</v>
          </cell>
          <cell r="R26">
            <v>9031.8055605639893</v>
          </cell>
          <cell r="S26">
            <v>338.81456372531346</v>
          </cell>
          <cell r="T26">
            <v>300.69236594425013</v>
          </cell>
          <cell r="U26" t="str">
            <v>A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766</v>
          </cell>
          <cell r="AA26">
            <v>-234.25648792566682</v>
          </cell>
          <cell r="AB26">
            <v>1447.2131068719725</v>
          </cell>
          <cell r="AC26">
            <v>0</v>
          </cell>
          <cell r="AD26">
            <v>532.48470424194352</v>
          </cell>
          <cell r="AE26">
            <v>298.2282163162763</v>
          </cell>
          <cell r="AF26">
            <v>178.54940448600411</v>
          </cell>
          <cell r="AG26">
            <v>178.54940448600411</v>
          </cell>
          <cell r="AI26">
            <v>3.7513491787809952E-2</v>
          </cell>
          <cell r="AJ26">
            <v>300.69236594425013</v>
          </cell>
          <cell r="AK26">
            <v>338.81456372531346</v>
          </cell>
          <cell r="AL26">
            <v>88.748359172668245</v>
          </cell>
          <cell r="AM26">
            <v>0</v>
          </cell>
          <cell r="AN26">
            <v>178.54940448600411</v>
          </cell>
          <cell r="AO26">
            <v>3.7513491787809952</v>
          </cell>
          <cell r="AP26">
            <v>88.748359172668245</v>
          </cell>
          <cell r="AQ26">
            <v>25</v>
          </cell>
          <cell r="AR26">
            <v>20</v>
          </cell>
          <cell r="AS26">
            <v>18.342327858539967</v>
          </cell>
          <cell r="AT26">
            <v>15</v>
          </cell>
          <cell r="AU26">
            <v>78.34232785853996</v>
          </cell>
        </row>
        <row r="27">
          <cell r="C27" t="str">
            <v>AUTOACEVEDO</v>
          </cell>
          <cell r="D27" t="str">
            <v>PONFERRADA</v>
          </cell>
          <cell r="E27" t="str">
            <v>FA</v>
          </cell>
          <cell r="F27" t="str">
            <v>NO</v>
          </cell>
          <cell r="G27">
            <v>183.03222626903707</v>
          </cell>
          <cell r="H27">
            <v>107.02222542762011</v>
          </cell>
          <cell r="I27">
            <v>1423.1485822124457</v>
          </cell>
          <cell r="J27">
            <v>727.89176974024258</v>
          </cell>
          <cell r="K27">
            <v>0</v>
          </cell>
          <cell r="L27">
            <v>1354.765424975659</v>
          </cell>
          <cell r="M27">
            <v>0</v>
          </cell>
          <cell r="N27">
            <v>0</v>
          </cell>
          <cell r="O27">
            <v>1086.3293786736865</v>
          </cell>
          <cell r="P27">
            <v>0</v>
          </cell>
          <cell r="Q27">
            <v>0</v>
          </cell>
          <cell r="R27">
            <v>4934.4235692906859</v>
          </cell>
          <cell r="S27">
            <v>73.419638671522847</v>
          </cell>
          <cell r="T27">
            <v>65.390116956955509</v>
          </cell>
          <cell r="U27" t="str">
            <v>A</v>
          </cell>
          <cell r="V27">
            <v>1</v>
          </cell>
          <cell r="W27">
            <v>0</v>
          </cell>
          <cell r="X27">
            <v>0</v>
          </cell>
          <cell r="Y27">
            <v>0</v>
          </cell>
          <cell r="Z27">
            <v>265</v>
          </cell>
          <cell r="AA27">
            <v>-183.03222626903707</v>
          </cell>
          <cell r="AB27">
            <v>1086.3293786736865</v>
          </cell>
          <cell r="AC27">
            <v>0</v>
          </cell>
          <cell r="AD27">
            <v>358.43760893344393</v>
          </cell>
          <cell r="AE27">
            <v>175.40538266440672</v>
          </cell>
          <cell r="AF27">
            <v>204.3481240363202</v>
          </cell>
          <cell r="AG27">
            <v>204.3481240363202</v>
          </cell>
          <cell r="AI27">
            <v>1.4879071008100908E-2</v>
          </cell>
          <cell r="AJ27">
            <v>65.390116956955509</v>
          </cell>
          <cell r="AK27">
            <v>73.419638671522847</v>
          </cell>
          <cell r="AL27">
            <v>89.063523248199076</v>
          </cell>
          <cell r="AM27">
            <v>0</v>
          </cell>
          <cell r="AN27">
            <v>204.3481240363202</v>
          </cell>
          <cell r="AO27">
            <v>1.4879071008100908</v>
          </cell>
          <cell r="AP27">
            <v>89.063523248199076</v>
          </cell>
          <cell r="AQ27">
            <v>25</v>
          </cell>
          <cell r="AR27">
            <v>20</v>
          </cell>
          <cell r="AS27">
            <v>3.2527140054006054</v>
          </cell>
          <cell r="AT27">
            <v>15</v>
          </cell>
          <cell r="AU27">
            <v>63.252714005400605</v>
          </cell>
        </row>
        <row r="28">
          <cell r="C28" t="str">
            <v>AUTOAN</v>
          </cell>
          <cell r="D28" t="str">
            <v>S. SEBASTIAN DE LOS REYES</v>
          </cell>
          <cell r="E28" t="str">
            <v>FA</v>
          </cell>
          <cell r="F28" t="str">
            <v>NO</v>
          </cell>
          <cell r="G28">
            <v>584.89896986525309</v>
          </cell>
          <cell r="H28">
            <v>411.65723077662784</v>
          </cell>
          <cell r="I28">
            <v>2027.6766074068732</v>
          </cell>
          <cell r="J28">
            <v>1219.7660860889739</v>
          </cell>
          <cell r="K28">
            <v>256.81848232423403</v>
          </cell>
          <cell r="L28">
            <v>2633.0340293053505</v>
          </cell>
          <cell r="M28">
            <v>250.54992607551117</v>
          </cell>
          <cell r="N28">
            <v>198.9289964299881</v>
          </cell>
          <cell r="O28">
            <v>904.66746000264448</v>
          </cell>
          <cell r="P28">
            <v>0</v>
          </cell>
          <cell r="Q28">
            <v>0</v>
          </cell>
          <cell r="R28">
            <v>10250.628057649081</v>
          </cell>
          <cell r="S28">
            <v>334.23485148990903</v>
          </cell>
          <cell r="T28">
            <v>271.8497950548724</v>
          </cell>
          <cell r="U28" t="str">
            <v>A</v>
          </cell>
          <cell r="V28">
            <v>1</v>
          </cell>
          <cell r="W28">
            <v>0</v>
          </cell>
          <cell r="X28">
            <v>0</v>
          </cell>
          <cell r="Y28">
            <v>0</v>
          </cell>
          <cell r="Z28">
            <v>636</v>
          </cell>
          <cell r="AA28">
            <v>-77.530561465507901</v>
          </cell>
          <cell r="AB28">
            <v>904.66746000264448</v>
          </cell>
          <cell r="AC28">
            <v>0</v>
          </cell>
          <cell r="AD28">
            <v>134.38029641916978</v>
          </cell>
          <cell r="AE28">
            <v>-193.70019112184946</v>
          </cell>
          <cell r="AF28" t="str">
            <v>to check</v>
          </cell>
          <cell r="AG28">
            <v>35</v>
          </cell>
          <cell r="AH28">
            <v>35</v>
          </cell>
          <cell r="AI28">
            <v>3.2606280279626469E-2</v>
          </cell>
          <cell r="AJ28">
            <v>271.8497950548724</v>
          </cell>
          <cell r="AK28">
            <v>334.23485148990903</v>
          </cell>
          <cell r="AL28">
            <v>81.334963676904266</v>
          </cell>
          <cell r="AM28">
            <v>0</v>
          </cell>
          <cell r="AN28">
            <v>35</v>
          </cell>
          <cell r="AO28">
            <v>3.2606280279626469</v>
          </cell>
          <cell r="AP28">
            <v>81.334963676904266</v>
          </cell>
          <cell r="AQ28">
            <v>25</v>
          </cell>
          <cell r="AR28">
            <v>12.5</v>
          </cell>
          <cell r="AS28">
            <v>15.07085351975098</v>
          </cell>
          <cell r="AT28">
            <v>15</v>
          </cell>
          <cell r="AU28">
            <v>67.570853519750983</v>
          </cell>
        </row>
        <row r="29">
          <cell r="C29" t="str">
            <v>AUTOJUCAR</v>
          </cell>
          <cell r="D29" t="str">
            <v>VALLADOLID</v>
          </cell>
          <cell r="E29" t="str">
            <v>FLA</v>
          </cell>
          <cell r="F29" t="str">
            <v>NO</v>
          </cell>
          <cell r="G29">
            <v>857.68634380296419</v>
          </cell>
          <cell r="H29">
            <v>398.65132883776278</v>
          </cell>
          <cell r="I29">
            <v>2692.678470544397</v>
          </cell>
          <cell r="J29">
            <v>406.99938696765355</v>
          </cell>
          <cell r="K29">
            <v>0</v>
          </cell>
          <cell r="L29">
            <v>2589.5387833110958</v>
          </cell>
          <cell r="M29">
            <v>0</v>
          </cell>
          <cell r="N29">
            <v>13.222266296443211</v>
          </cell>
          <cell r="O29">
            <v>1753.2544805452383</v>
          </cell>
          <cell r="P29">
            <v>0</v>
          </cell>
          <cell r="Q29">
            <v>0</v>
          </cell>
          <cell r="R29">
            <v>7245.8740519034054</v>
          </cell>
          <cell r="S29">
            <v>199.22349236113615</v>
          </cell>
          <cell r="T29">
            <v>214.01440025002105</v>
          </cell>
          <cell r="U29" t="str">
            <v>A</v>
          </cell>
          <cell r="V29">
            <v>1</v>
          </cell>
          <cell r="W29">
            <v>0</v>
          </cell>
          <cell r="X29">
            <v>0</v>
          </cell>
          <cell r="Y29">
            <v>0</v>
          </cell>
          <cell r="Z29">
            <v>460</v>
          </cell>
          <cell r="AA29">
            <v>-857.68634380296419</v>
          </cell>
          <cell r="AB29">
            <v>1753.2544805452383</v>
          </cell>
          <cell r="AC29">
            <v>0</v>
          </cell>
          <cell r="AD29">
            <v>1359.477359874028</v>
          </cell>
          <cell r="AE29">
            <v>501.79101607106395</v>
          </cell>
          <cell r="AF29">
            <v>270.92500988130445</v>
          </cell>
          <cell r="AG29">
            <v>270.92500988130445</v>
          </cell>
          <cell r="AI29">
            <v>2.7494749554583066E-2</v>
          </cell>
          <cell r="AJ29">
            <v>214.01440025002105</v>
          </cell>
          <cell r="AK29">
            <v>199.22349236113615</v>
          </cell>
          <cell r="AL29">
            <v>107.42427899119103</v>
          </cell>
          <cell r="AM29">
            <v>0</v>
          </cell>
          <cell r="AN29">
            <v>270.92500988130445</v>
          </cell>
          <cell r="AO29">
            <v>2.7494749554583064</v>
          </cell>
          <cell r="AP29">
            <v>107.42427899119103</v>
          </cell>
          <cell r="AQ29">
            <v>25</v>
          </cell>
          <cell r="AR29">
            <v>20</v>
          </cell>
          <cell r="AS29">
            <v>11.663166369722042</v>
          </cell>
          <cell r="AT29">
            <v>15</v>
          </cell>
          <cell r="AU29">
            <v>71.663166369722035</v>
          </cell>
        </row>
        <row r="30">
          <cell r="C30" t="str">
            <v>AUTOMATEO</v>
          </cell>
          <cell r="D30" t="str">
            <v>SORIA</v>
          </cell>
          <cell r="E30" t="str">
            <v>FLA</v>
          </cell>
          <cell r="F30" t="str">
            <v>NO</v>
          </cell>
          <cell r="G30">
            <v>52.408255502265817</v>
          </cell>
          <cell r="H30">
            <v>92.483742622576415</v>
          </cell>
          <cell r="I30">
            <v>573.49176012404894</v>
          </cell>
          <cell r="J30">
            <v>440.21732597694518</v>
          </cell>
          <cell r="K30">
            <v>15.572223624583799</v>
          </cell>
          <cell r="L30">
            <v>734.00406284182566</v>
          </cell>
          <cell r="M30">
            <v>0</v>
          </cell>
          <cell r="N30">
            <v>198.33399444664815</v>
          </cell>
          <cell r="O30">
            <v>210.69080331277871</v>
          </cell>
          <cell r="P30">
            <v>0</v>
          </cell>
          <cell r="Q30">
            <v>0</v>
          </cell>
          <cell r="R30">
            <v>1645.5230608344452</v>
          </cell>
          <cell r="S30">
            <v>39.089827269121201</v>
          </cell>
          <cell r="T30">
            <v>15.031312730638396</v>
          </cell>
          <cell r="U30" t="str">
            <v>B</v>
          </cell>
          <cell r="V30">
            <v>0</v>
          </cell>
          <cell r="W30">
            <v>1</v>
          </cell>
          <cell r="X30">
            <v>0</v>
          </cell>
          <cell r="Y30">
            <v>0</v>
          </cell>
          <cell r="Z30">
            <v>60</v>
          </cell>
          <cell r="AA30">
            <v>-36.836031877682018</v>
          </cell>
          <cell r="AB30">
            <v>210.69080331277871</v>
          </cell>
          <cell r="AC30">
            <v>0</v>
          </cell>
          <cell r="AD30">
            <v>-31.192528217518316</v>
          </cell>
          <cell r="AE30">
            <v>-68.028560095200305</v>
          </cell>
          <cell r="AF30">
            <v>-88</v>
          </cell>
          <cell r="AG30">
            <v>-88</v>
          </cell>
          <cell r="AI30">
            <v>2.3755259467040674E-2</v>
          </cell>
          <cell r="AJ30">
            <v>15.031312730638396</v>
          </cell>
          <cell r="AK30">
            <v>39.089827269121201</v>
          </cell>
          <cell r="AL30">
            <v>38.453259532595325</v>
          </cell>
          <cell r="AM30">
            <v>0</v>
          </cell>
          <cell r="AN30">
            <v>-88</v>
          </cell>
          <cell r="AO30">
            <v>2.3755259467040672</v>
          </cell>
          <cell r="AP30">
            <v>38.453259532595325</v>
          </cell>
          <cell r="AQ30">
            <v>25</v>
          </cell>
          <cell r="AR30">
            <v>0</v>
          </cell>
          <cell r="AS30">
            <v>9.1701729780271144</v>
          </cell>
          <cell r="AT30">
            <v>9.2266297662976626</v>
          </cell>
          <cell r="AU30">
            <v>43.396802744324773</v>
          </cell>
        </row>
        <row r="31">
          <cell r="C31" t="str">
            <v>A.MEDITERRANEO</v>
          </cell>
          <cell r="D31" t="str">
            <v>ALBACETE</v>
          </cell>
          <cell r="E31" t="str">
            <v>FLA</v>
          </cell>
          <cell r="F31" t="str">
            <v>NO</v>
          </cell>
          <cell r="G31">
            <v>239.08862524491244</v>
          </cell>
          <cell r="H31">
            <v>247.2503696224442</v>
          </cell>
          <cell r="I31">
            <v>1699.9627372495283</v>
          </cell>
          <cell r="J31">
            <v>872.07457358191198</v>
          </cell>
          <cell r="K31">
            <v>545.49060618080853</v>
          </cell>
          <cell r="L31">
            <v>1654.051422595651</v>
          </cell>
          <cell r="M31">
            <v>167.45399252340943</v>
          </cell>
          <cell r="N31">
            <v>381.23399805272078</v>
          </cell>
          <cell r="O31">
            <v>310.14628634620703</v>
          </cell>
          <cell r="P31">
            <v>0</v>
          </cell>
          <cell r="Q31">
            <v>0</v>
          </cell>
          <cell r="R31">
            <v>8685.4362746865718</v>
          </cell>
          <cell r="S31">
            <v>299.85695911915667</v>
          </cell>
          <cell r="T31">
            <v>205.85265587248927</v>
          </cell>
          <cell r="U31" t="str">
            <v>B</v>
          </cell>
          <cell r="V31">
            <v>0</v>
          </cell>
          <cell r="W31">
            <v>1</v>
          </cell>
          <cell r="X31">
            <v>0</v>
          </cell>
          <cell r="Y31">
            <v>0</v>
          </cell>
          <cell r="Z31">
            <v>480</v>
          </cell>
          <cell r="AA31">
            <v>473.85597345930546</v>
          </cell>
          <cell r="AB31">
            <v>310.14628634620703</v>
          </cell>
          <cell r="AC31">
            <v>1.5278466785520501</v>
          </cell>
          <cell r="AD31">
            <v>-13.24029665957471</v>
          </cell>
          <cell r="AE31">
            <v>293.16168427632147</v>
          </cell>
          <cell r="AF31">
            <v>-4.5163803353970984</v>
          </cell>
          <cell r="AG31">
            <v>-4.5163803353970984</v>
          </cell>
          <cell r="AI31">
            <v>3.4524110204236978E-2</v>
          </cell>
          <cell r="AJ31">
            <v>205.85265587248927</v>
          </cell>
          <cell r="AK31">
            <v>299.85695911915667</v>
          </cell>
          <cell r="AL31">
            <v>68.650284614767898</v>
          </cell>
          <cell r="AM31">
            <v>1.5278466785520501</v>
          </cell>
          <cell r="AN31">
            <v>-4.5163803353970984</v>
          </cell>
          <cell r="AO31">
            <v>3.452411020423698</v>
          </cell>
          <cell r="AP31">
            <v>68.650284614767898</v>
          </cell>
          <cell r="AQ31">
            <v>18.401916518099373</v>
          </cell>
          <cell r="AR31">
            <v>0</v>
          </cell>
          <cell r="AS31">
            <v>16.349406802824653</v>
          </cell>
          <cell r="AT31">
            <v>15</v>
          </cell>
          <cell r="AU31">
            <v>49.75132332092403</v>
          </cell>
        </row>
        <row r="32">
          <cell r="C32" t="str">
            <v>AUTOM.MACHUCA</v>
          </cell>
          <cell r="D32" t="str">
            <v>TALAVERA DE LA REINA</v>
          </cell>
          <cell r="E32" t="str">
            <v>FL</v>
          </cell>
          <cell r="F32" t="str">
            <v>NO</v>
          </cell>
          <cell r="G32">
            <v>24.935992210883128</v>
          </cell>
          <cell r="H32">
            <v>146.1421033019605</v>
          </cell>
          <cell r="I32">
            <v>1936.2867068142752</v>
          </cell>
          <cell r="J32">
            <v>253.07417691392305</v>
          </cell>
          <cell r="K32">
            <v>185.89304388590386</v>
          </cell>
          <cell r="L32">
            <v>1845.5819600206748</v>
          </cell>
          <cell r="M32">
            <v>0</v>
          </cell>
          <cell r="N32">
            <v>114.79932205834626</v>
          </cell>
          <cell r="O32">
            <v>214.16465327611698</v>
          </cell>
          <cell r="P32">
            <v>0</v>
          </cell>
          <cell r="Q32">
            <v>0</v>
          </cell>
          <cell r="R32">
            <v>5387.9713437428627</v>
          </cell>
          <cell r="S32">
            <v>108.15212818386162</v>
          </cell>
          <cell r="T32">
            <v>28.427872537352904</v>
          </cell>
          <cell r="U32" t="str">
            <v>B</v>
          </cell>
          <cell r="V32">
            <v>0</v>
          </cell>
          <cell r="W32">
            <v>1</v>
          </cell>
          <cell r="X32">
            <v>0</v>
          </cell>
          <cell r="Y32">
            <v>0</v>
          </cell>
          <cell r="Z32">
            <v>250</v>
          </cell>
          <cell r="AA32">
            <v>160.95705167502075</v>
          </cell>
          <cell r="AB32">
            <v>214.16465327611698</v>
          </cell>
          <cell r="AC32">
            <v>0.75155750126283893</v>
          </cell>
          <cell r="AD32">
            <v>75.889798420540217</v>
          </cell>
          <cell r="AE32">
            <v>236.84685009556074</v>
          </cell>
          <cell r="AF32">
            <v>32.041717417783225</v>
          </cell>
          <cell r="AG32">
            <v>32.041717417783225</v>
          </cell>
          <cell r="AI32">
            <v>2.0072884817670833E-2</v>
          </cell>
          <cell r="AJ32">
            <v>28.427872537352904</v>
          </cell>
          <cell r="AK32">
            <v>108.15212818386162</v>
          </cell>
          <cell r="AL32">
            <v>26.285079188663516</v>
          </cell>
          <cell r="AM32">
            <v>0.75155750126283893</v>
          </cell>
          <cell r="AN32">
            <v>32.041717417783225</v>
          </cell>
          <cell r="AO32">
            <v>2.0072884817670831</v>
          </cell>
          <cell r="AP32">
            <v>26.285079188663516</v>
          </cell>
          <cell r="AQ32">
            <v>25</v>
          </cell>
          <cell r="AR32">
            <v>11.020858708891613</v>
          </cell>
          <cell r="AS32">
            <v>6.7152565451138866</v>
          </cell>
          <cell r="AT32">
            <v>3.1425395943317582</v>
          </cell>
          <cell r="AU32">
            <v>45.878654848337256</v>
          </cell>
        </row>
        <row r="33">
          <cell r="C33" t="str">
            <v>AUTOM.CARNICER</v>
          </cell>
          <cell r="D33" t="str">
            <v>COSLADA TORREJON</v>
          </cell>
          <cell r="E33" t="str">
            <v>FL</v>
          </cell>
          <cell r="F33" t="str">
            <v>NO</v>
          </cell>
          <cell r="G33">
            <v>44.210450398471025</v>
          </cell>
          <cell r="H33">
            <v>430.02416068659625</v>
          </cell>
          <cell r="I33">
            <v>2627.8713353286935</v>
          </cell>
          <cell r="J33">
            <v>1630.1251307201328</v>
          </cell>
          <cell r="K33">
            <v>27.796809827749932</v>
          </cell>
          <cell r="L33">
            <v>3461.7936605243231</v>
          </cell>
          <cell r="M33">
            <v>561.47752815741705</v>
          </cell>
          <cell r="N33">
            <v>3.0050605219189115</v>
          </cell>
          <cell r="O33">
            <v>678.15801810248456</v>
          </cell>
          <cell r="P33">
            <v>0</v>
          </cell>
          <cell r="Q33">
            <v>0</v>
          </cell>
          <cell r="R33">
            <v>14624.175110886734</v>
          </cell>
          <cell r="S33">
            <v>167.49005324967246</v>
          </cell>
          <cell r="T33">
            <v>115.29215198394095</v>
          </cell>
          <cell r="U33" t="str">
            <v>B</v>
          </cell>
          <cell r="V33">
            <v>0</v>
          </cell>
          <cell r="W33">
            <v>1</v>
          </cell>
          <cell r="X33">
            <v>0</v>
          </cell>
          <cell r="Y33">
            <v>0</v>
          </cell>
          <cell r="Z33">
            <v>661</v>
          </cell>
          <cell r="AA33">
            <v>545.06388758669596</v>
          </cell>
          <cell r="AB33">
            <v>678.15801810248456</v>
          </cell>
          <cell r="AC33">
            <v>0.80374171363749158</v>
          </cell>
          <cell r="AD33">
            <v>-387.48452393831212</v>
          </cell>
          <cell r="AE33">
            <v>-403.89816450903345</v>
          </cell>
          <cell r="AF33">
            <v>-88</v>
          </cell>
          <cell r="AG33">
            <v>-88</v>
          </cell>
          <cell r="AI33">
            <v>1.1452957310733182E-2</v>
          </cell>
          <cell r="AJ33">
            <v>115.29215198394095</v>
          </cell>
          <cell r="AK33">
            <v>167.49005324967246</v>
          </cell>
          <cell r="AL33">
            <v>68.83522319506244</v>
          </cell>
          <cell r="AM33">
            <v>0.80374171363749158</v>
          </cell>
          <cell r="AN33">
            <v>-88</v>
          </cell>
          <cell r="AO33">
            <v>1.1452957310733183</v>
          </cell>
          <cell r="AP33">
            <v>68.83522319506244</v>
          </cell>
          <cell r="AQ33">
            <v>25</v>
          </cell>
          <cell r="AR33">
            <v>0</v>
          </cell>
          <cell r="AS33">
            <v>0.96863820715545512</v>
          </cell>
          <cell r="AT33">
            <v>15</v>
          </cell>
          <cell r="AU33">
            <v>40.96863820715545</v>
          </cell>
        </row>
        <row r="34">
          <cell r="C34" t="str">
            <v>AU. BLANCO</v>
          </cell>
          <cell r="D34" t="str">
            <v>VILLALBA</v>
          </cell>
          <cell r="E34" t="str">
            <v>A</v>
          </cell>
          <cell r="F34" t="str">
            <v>NO</v>
          </cell>
          <cell r="G34">
            <v>41.325592297428869</v>
          </cell>
          <cell r="H34">
            <v>216.01577055761905</v>
          </cell>
          <cell r="I34">
            <v>529.96646352457537</v>
          </cell>
          <cell r="J34">
            <v>1519.6831464185689</v>
          </cell>
          <cell r="K34">
            <v>431.39446828459126</v>
          </cell>
          <cell r="L34">
            <v>658.04815308980324</v>
          </cell>
          <cell r="M34">
            <v>888.32594088444944</v>
          </cell>
          <cell r="N34">
            <v>0</v>
          </cell>
          <cell r="O34">
            <v>329.22241053934829</v>
          </cell>
          <cell r="P34">
            <v>0</v>
          </cell>
          <cell r="Q34">
            <v>0</v>
          </cell>
          <cell r="R34">
            <v>2775.0351592081065</v>
          </cell>
          <cell r="S34">
            <v>96.889161347709546</v>
          </cell>
          <cell r="T34">
            <v>9.1534143497650042</v>
          </cell>
          <cell r="U34" t="str">
            <v>C</v>
          </cell>
          <cell r="V34">
            <v>0</v>
          </cell>
          <cell r="W34">
            <v>0</v>
          </cell>
          <cell r="X34">
            <v>1</v>
          </cell>
          <cell r="Y34">
            <v>0</v>
          </cell>
          <cell r="Z34">
            <v>100</v>
          </cell>
          <cell r="AA34">
            <v>1278.394816871612</v>
          </cell>
          <cell r="AB34">
            <v>329.22241053934829</v>
          </cell>
          <cell r="AC34">
            <v>3.8830734966592431</v>
          </cell>
          <cell r="AD34">
            <v>-302.13479499477126</v>
          </cell>
          <cell r="AE34">
            <v>87.934080992391159</v>
          </cell>
          <cell r="AF34">
            <v>-343.5923723600576</v>
          </cell>
          <cell r="AG34">
            <v>-343.5923723600576</v>
          </cell>
          <cell r="AI34">
            <v>3.4914570731189642E-2</v>
          </cell>
          <cell r="AJ34">
            <v>9.1534143497650042</v>
          </cell>
          <cell r="AK34">
            <v>96.889161347709546</v>
          </cell>
          <cell r="AL34">
            <v>9.4473047577693681</v>
          </cell>
          <cell r="AM34">
            <v>3.8830734966592431</v>
          </cell>
          <cell r="AN34">
            <v>-343.5923723600576</v>
          </cell>
          <cell r="AO34">
            <v>3.4914570731189642</v>
          </cell>
          <cell r="AP34">
            <v>9.4473047577693681</v>
          </cell>
          <cell r="AQ34">
            <v>0</v>
          </cell>
          <cell r="AR34">
            <v>0</v>
          </cell>
          <cell r="AS34">
            <v>16.609713820793097</v>
          </cell>
          <cell r="AT34">
            <v>0</v>
          </cell>
          <cell r="AU34">
            <v>16.609713820793097</v>
          </cell>
        </row>
        <row r="35">
          <cell r="C35" t="str">
            <v>AU CERVERA</v>
          </cell>
          <cell r="D35" t="str">
            <v>AVILA</v>
          </cell>
          <cell r="E35" t="str">
            <v>FLA</v>
          </cell>
          <cell r="F35" t="str">
            <v>NO</v>
          </cell>
          <cell r="G35">
            <v>27.406151959900473</v>
          </cell>
          <cell r="H35">
            <v>628.98320772180352</v>
          </cell>
          <cell r="I35">
            <v>1428.7139542990396</v>
          </cell>
          <cell r="J35">
            <v>767.61265971896671</v>
          </cell>
          <cell r="K35">
            <v>90.518433041241451</v>
          </cell>
          <cell r="L35">
            <v>2090.6927265515128</v>
          </cell>
          <cell r="M35">
            <v>121.368384359261</v>
          </cell>
          <cell r="N35">
            <v>288.17929393097978</v>
          </cell>
          <cell r="O35">
            <v>261.95713581671538</v>
          </cell>
          <cell r="P35">
            <v>0</v>
          </cell>
          <cell r="Q35">
            <v>0</v>
          </cell>
          <cell r="R35">
            <v>3645.6132126501029</v>
          </cell>
          <cell r="S35">
            <v>122.05954827930235</v>
          </cell>
          <cell r="T35">
            <v>82.338658300578174</v>
          </cell>
          <cell r="U35" t="str">
            <v>B</v>
          </cell>
          <cell r="V35">
            <v>0</v>
          </cell>
          <cell r="W35">
            <v>1</v>
          </cell>
          <cell r="X35">
            <v>0</v>
          </cell>
          <cell r="Y35">
            <v>0</v>
          </cell>
          <cell r="Z35">
            <v>219</v>
          </cell>
          <cell r="AA35">
            <v>184.48066544060197</v>
          </cell>
          <cell r="AB35">
            <v>261.95713581671538</v>
          </cell>
          <cell r="AC35">
            <v>0.70423989354379835</v>
          </cell>
          <cell r="AD35">
            <v>-96.107845612010465</v>
          </cell>
          <cell r="AE35">
            <v>-32.995564530669526</v>
          </cell>
          <cell r="AF35">
            <v>-88</v>
          </cell>
          <cell r="AG35">
            <v>-88</v>
          </cell>
          <cell r="AI35">
            <v>3.3481211845447993E-2</v>
          </cell>
          <cell r="AJ35">
            <v>82.338658300578174</v>
          </cell>
          <cell r="AK35">
            <v>122.05954827930235</v>
          </cell>
          <cell r="AL35">
            <v>67.457777340095532</v>
          </cell>
          <cell r="AM35">
            <v>0.70423989354379835</v>
          </cell>
          <cell r="AN35">
            <v>-88</v>
          </cell>
          <cell r="AO35">
            <v>3.3481211845447993</v>
          </cell>
          <cell r="AP35">
            <v>67.457777340095532</v>
          </cell>
          <cell r="AQ35">
            <v>25</v>
          </cell>
          <cell r="AR35">
            <v>0</v>
          </cell>
          <cell r="AS35">
            <v>15.654141230298661</v>
          </cell>
          <cell r="AT35">
            <v>15</v>
          </cell>
          <cell r="AU35">
            <v>55.654141230298663</v>
          </cell>
        </row>
        <row r="36">
          <cell r="C36" t="str">
            <v>AUTOMOVILES J.J.</v>
          </cell>
          <cell r="D36" t="str">
            <v>LEON</v>
          </cell>
          <cell r="E36" t="str">
            <v>A</v>
          </cell>
          <cell r="F36" t="str">
            <v>NO</v>
          </cell>
          <cell r="G36">
            <v>58.821054656040772</v>
          </cell>
          <cell r="H36">
            <v>62.306924861466712</v>
          </cell>
          <cell r="I36">
            <v>321.78789080812089</v>
          </cell>
          <cell r="J36">
            <v>336.18213070811248</v>
          </cell>
          <cell r="K36">
            <v>189.57724808577646</v>
          </cell>
          <cell r="L36">
            <v>237.26755856862957</v>
          </cell>
          <cell r="M36">
            <v>86.984481867464808</v>
          </cell>
          <cell r="N36">
            <v>0</v>
          </cell>
          <cell r="O36">
            <v>265.26871251186998</v>
          </cell>
          <cell r="P36">
            <v>0</v>
          </cell>
          <cell r="Q36">
            <v>0</v>
          </cell>
          <cell r="R36">
            <v>1069.9157381029654</v>
          </cell>
          <cell r="S36">
            <v>42.010746096426381</v>
          </cell>
          <cell r="T36">
            <v>17.856069621242174</v>
          </cell>
          <cell r="U36" t="str">
            <v>B</v>
          </cell>
          <cell r="V36">
            <v>0</v>
          </cell>
          <cell r="W36">
            <v>1</v>
          </cell>
          <cell r="X36">
            <v>0</v>
          </cell>
          <cell r="Y36">
            <v>0</v>
          </cell>
          <cell r="Z36">
            <v>41</v>
          </cell>
          <cell r="AA36">
            <v>217.74067529720054</v>
          </cell>
          <cell r="AB36">
            <v>265.26871251186998</v>
          </cell>
          <cell r="AC36">
            <v>0.82083059564537708</v>
          </cell>
          <cell r="AD36">
            <v>16.071063671222305</v>
          </cell>
          <cell r="AE36">
            <v>146.82725710095804</v>
          </cell>
          <cell r="AF36">
            <v>10.94555873925499</v>
          </cell>
          <cell r="AG36">
            <v>10.94555873925499</v>
          </cell>
          <cell r="AI36">
            <v>3.9265471663137076E-2</v>
          </cell>
          <cell r="AJ36">
            <v>17.856069621242174</v>
          </cell>
          <cell r="AK36">
            <v>42.010746096426381</v>
          </cell>
          <cell r="AL36">
            <v>42.503576537911307</v>
          </cell>
          <cell r="AM36">
            <v>0.82083059564537708</v>
          </cell>
          <cell r="AN36">
            <v>10.94555873925499</v>
          </cell>
          <cell r="AO36">
            <v>3.9265471663137075</v>
          </cell>
          <cell r="AP36">
            <v>42.503576537911307</v>
          </cell>
          <cell r="AQ36">
            <v>25</v>
          </cell>
          <cell r="AR36">
            <v>0.47277936962749489</v>
          </cell>
          <cell r="AS36">
            <v>19.510314442091385</v>
          </cell>
          <cell r="AT36">
            <v>11.251788268955654</v>
          </cell>
          <cell r="AU36">
            <v>56.234882080674538</v>
          </cell>
        </row>
        <row r="37">
          <cell r="C37" t="str">
            <v>AUTOM.NEMESIO</v>
          </cell>
          <cell r="D37" t="str">
            <v>TORRENTE</v>
          </cell>
          <cell r="E37" t="str">
            <v>FA</v>
          </cell>
          <cell r="F37" t="str">
            <v>NO</v>
          </cell>
          <cell r="G37">
            <v>548.35743391871915</v>
          </cell>
          <cell r="H37">
            <v>587.36912961427049</v>
          </cell>
          <cell r="I37">
            <v>3814.5036241029893</v>
          </cell>
          <cell r="J37">
            <v>1410.0044474895724</v>
          </cell>
          <cell r="K37">
            <v>129.38588583174067</v>
          </cell>
          <cell r="L37">
            <v>4746.3668818289998</v>
          </cell>
          <cell r="M37">
            <v>5.8718882598295528</v>
          </cell>
          <cell r="N37">
            <v>640.86521702547088</v>
          </cell>
          <cell r="O37">
            <v>837.7447621795103</v>
          </cell>
          <cell r="P37">
            <v>0</v>
          </cell>
          <cell r="Q37">
            <v>0</v>
          </cell>
          <cell r="R37">
            <v>19044.829492865985</v>
          </cell>
          <cell r="S37">
            <v>402.95457550515067</v>
          </cell>
          <cell r="T37">
            <v>328.45912516678089</v>
          </cell>
          <cell r="U37" t="str">
            <v>A</v>
          </cell>
          <cell r="V37">
            <v>1</v>
          </cell>
          <cell r="W37">
            <v>0</v>
          </cell>
          <cell r="X37">
            <v>0</v>
          </cell>
          <cell r="Y37">
            <v>0</v>
          </cell>
          <cell r="Z37">
            <v>996</v>
          </cell>
          <cell r="AA37">
            <v>-413.09965982714891</v>
          </cell>
          <cell r="AB37">
            <v>837.7447621795103</v>
          </cell>
          <cell r="AC37">
            <v>0</v>
          </cell>
          <cell r="AD37">
            <v>74.47741997523849</v>
          </cell>
          <cell r="AE37">
            <v>-344.49412811173988</v>
          </cell>
          <cell r="AF37" t="str">
            <v>to check</v>
          </cell>
          <cell r="AG37">
            <v>50</v>
          </cell>
          <cell r="AH37">
            <v>50</v>
          </cell>
          <cell r="AI37">
            <v>2.1158213868813773E-2</v>
          </cell>
          <cell r="AJ37">
            <v>328.45912516678089</v>
          </cell>
          <cell r="AK37">
            <v>402.95457550515067</v>
          </cell>
          <cell r="AL37">
            <v>81.512692778092671</v>
          </cell>
          <cell r="AM37">
            <v>0</v>
          </cell>
          <cell r="AN37">
            <v>50</v>
          </cell>
          <cell r="AO37">
            <v>2.1158213868813771</v>
          </cell>
          <cell r="AP37">
            <v>81.512692778092671</v>
          </cell>
          <cell r="AQ37">
            <v>25</v>
          </cell>
          <cell r="AR37">
            <v>20</v>
          </cell>
          <cell r="AS37">
            <v>7.4388092458758468</v>
          </cell>
          <cell r="AT37">
            <v>15</v>
          </cell>
          <cell r="AU37">
            <v>67.438809245875845</v>
          </cell>
        </row>
        <row r="38">
          <cell r="C38" t="str">
            <v>AUTOS AISA</v>
          </cell>
          <cell r="D38" t="str">
            <v>BILBAO</v>
          </cell>
          <cell r="E38" t="str">
            <v>FL</v>
          </cell>
          <cell r="F38" t="str">
            <v>NO</v>
          </cell>
          <cell r="G38">
            <v>360.05433149423629</v>
          </cell>
          <cell r="H38">
            <v>342.34851489909005</v>
          </cell>
          <cell r="I38">
            <v>2016.6780858966499</v>
          </cell>
          <cell r="J38">
            <v>554.10911975767192</v>
          </cell>
          <cell r="K38">
            <v>0</v>
          </cell>
          <cell r="L38">
            <v>2627.9674972653952</v>
          </cell>
          <cell r="M38">
            <v>0</v>
          </cell>
          <cell r="N38">
            <v>0</v>
          </cell>
          <cell r="O38">
            <v>645.22255478225338</v>
          </cell>
          <cell r="P38">
            <v>0</v>
          </cell>
          <cell r="Q38">
            <v>0</v>
          </cell>
          <cell r="R38">
            <v>4521.0714843796959</v>
          </cell>
          <cell r="S38">
            <v>157.21274626470978</v>
          </cell>
          <cell r="T38">
            <v>136.9225776207133</v>
          </cell>
          <cell r="U38" t="str">
            <v>A</v>
          </cell>
          <cell r="V38">
            <v>1</v>
          </cell>
          <cell r="W38">
            <v>0</v>
          </cell>
          <cell r="X38">
            <v>0</v>
          </cell>
          <cell r="Y38">
            <v>0</v>
          </cell>
          <cell r="Z38">
            <v>304</v>
          </cell>
          <cell r="AA38">
            <v>-360.05433149423629</v>
          </cell>
          <cell r="AB38">
            <v>645.22255478225338</v>
          </cell>
          <cell r="AC38">
            <v>0</v>
          </cell>
          <cell r="AD38">
            <v>91.113435024581463</v>
          </cell>
          <cell r="AE38">
            <v>-268.9408964696554</v>
          </cell>
          <cell r="AF38" t="str">
            <v>to check</v>
          </cell>
          <cell r="AG38">
            <v>35</v>
          </cell>
          <cell r="AH38">
            <v>35</v>
          </cell>
          <cell r="AI38">
            <v>3.4773337870874173E-2</v>
          </cell>
          <cell r="AJ38">
            <v>136.9225776207133</v>
          </cell>
          <cell r="AK38">
            <v>157.21274626470978</v>
          </cell>
          <cell r="AL38">
            <v>87.093814511812838</v>
          </cell>
          <cell r="AM38">
            <v>0</v>
          </cell>
          <cell r="AN38">
            <v>35</v>
          </cell>
          <cell r="AO38">
            <v>3.4773337870874172</v>
          </cell>
          <cell r="AP38">
            <v>87.093814511812838</v>
          </cell>
          <cell r="AQ38">
            <v>25</v>
          </cell>
          <cell r="AR38">
            <v>12.5</v>
          </cell>
          <cell r="AS38">
            <v>16.51555858058278</v>
          </cell>
          <cell r="AT38">
            <v>15</v>
          </cell>
          <cell r="AU38">
            <v>69.015558580582777</v>
          </cell>
        </row>
        <row r="39">
          <cell r="C39" t="str">
            <v>AUTOS MARTORELL</v>
          </cell>
          <cell r="D39" t="str">
            <v>FELANITX</v>
          </cell>
          <cell r="E39" t="str">
            <v>FA</v>
          </cell>
          <cell r="F39" t="str">
            <v>NO</v>
          </cell>
          <cell r="G39">
            <v>0</v>
          </cell>
          <cell r="H39">
            <v>46.193790342937511</v>
          </cell>
          <cell r="I39">
            <v>1244.3414710372267</v>
          </cell>
          <cell r="J39">
            <v>709.51882970923032</v>
          </cell>
          <cell r="K39">
            <v>140.76304496772565</v>
          </cell>
          <cell r="L39">
            <v>1246.0844061399398</v>
          </cell>
          <cell r="M39">
            <v>103.91499284795596</v>
          </cell>
          <cell r="N39">
            <v>34.726479391294944</v>
          </cell>
          <cell r="O39">
            <v>474.56516774247837</v>
          </cell>
          <cell r="P39">
            <v>0</v>
          </cell>
          <cell r="Q39">
            <v>0</v>
          </cell>
          <cell r="R39">
            <v>4272.2464630437662</v>
          </cell>
          <cell r="S39">
            <v>89.148125443246428</v>
          </cell>
          <cell r="T39">
            <v>38.344572259685314</v>
          </cell>
          <cell r="U39" t="str">
            <v>B</v>
          </cell>
          <cell r="V39">
            <v>0</v>
          </cell>
          <cell r="W39">
            <v>1</v>
          </cell>
          <cell r="X39">
            <v>0</v>
          </cell>
          <cell r="Y39">
            <v>0</v>
          </cell>
          <cell r="Z39">
            <v>299</v>
          </cell>
          <cell r="AA39">
            <v>244.67803781568159</v>
          </cell>
          <cell r="AB39">
            <v>474.56516774247837</v>
          </cell>
          <cell r="AC39">
            <v>0.51558364255771827</v>
          </cell>
          <cell r="AD39">
            <v>-96.31218972750105</v>
          </cell>
          <cell r="AE39">
            <v>44.450855240224428</v>
          </cell>
          <cell r="AF39">
            <v>-216.67117360735571</v>
          </cell>
          <cell r="AG39">
            <v>-216.67117360735571</v>
          </cell>
          <cell r="AI39">
            <v>2.0866803030771954E-2</v>
          </cell>
          <cell r="AJ39">
            <v>38.344572259685314</v>
          </cell>
          <cell r="AK39">
            <v>89.148125443246428</v>
          </cell>
          <cell r="AL39">
            <v>43.01220252140498</v>
          </cell>
          <cell r="AM39">
            <v>0.51558364255771827</v>
          </cell>
          <cell r="AN39">
            <v>-216.67117360735571</v>
          </cell>
          <cell r="AO39">
            <v>2.0866803030771952</v>
          </cell>
          <cell r="AP39">
            <v>43.01220252140498</v>
          </cell>
          <cell r="AQ39">
            <v>25</v>
          </cell>
          <cell r="AR39">
            <v>0</v>
          </cell>
          <cell r="AS39">
            <v>7.2445353538479687</v>
          </cell>
          <cell r="AT39">
            <v>11.50610126070249</v>
          </cell>
          <cell r="AU39">
            <v>43.750636614550459</v>
          </cell>
        </row>
        <row r="40">
          <cell r="C40" t="str">
            <v>BALMES INTERM.</v>
          </cell>
          <cell r="D40" t="str">
            <v>IGUALADA</v>
          </cell>
          <cell r="E40" t="str">
            <v>FA</v>
          </cell>
          <cell r="F40" t="str">
            <v>NO</v>
          </cell>
          <cell r="G40">
            <v>136.85646628923107</v>
          </cell>
          <cell r="H40">
            <v>39.666798889329634</v>
          </cell>
          <cell r="I40">
            <v>1139.7473345113171</v>
          </cell>
          <cell r="J40">
            <v>219.0629019268448</v>
          </cell>
          <cell r="K40">
            <v>0</v>
          </cell>
          <cell r="L40">
            <v>1178.2962508864928</v>
          </cell>
          <cell r="M40">
            <v>0</v>
          </cell>
          <cell r="N40">
            <v>34.437993581190725</v>
          </cell>
          <cell r="O40">
            <v>322.59925714903898</v>
          </cell>
          <cell r="P40">
            <v>0</v>
          </cell>
          <cell r="Q40">
            <v>0</v>
          </cell>
          <cell r="R40">
            <v>3553.8206339475678</v>
          </cell>
          <cell r="S40">
            <v>49.968146358467664</v>
          </cell>
          <cell r="T40">
            <v>36.108807231377639</v>
          </cell>
          <cell r="U40" t="str">
            <v>A</v>
          </cell>
          <cell r="V40">
            <v>1</v>
          </cell>
          <cell r="W40">
            <v>0</v>
          </cell>
          <cell r="X40">
            <v>0</v>
          </cell>
          <cell r="Y40">
            <v>0</v>
          </cell>
          <cell r="Z40">
            <v>215</v>
          </cell>
          <cell r="AA40">
            <v>-136.85646628923107</v>
          </cell>
          <cell r="AB40">
            <v>322.59925714903898</v>
          </cell>
          <cell r="AC40">
            <v>0</v>
          </cell>
          <cell r="AD40">
            <v>137.97434880338488</v>
          </cell>
          <cell r="AE40">
            <v>1.1178825141539619</v>
          </cell>
          <cell r="AF40">
            <v>12342.473118278169</v>
          </cell>
          <cell r="AG40">
            <v>12342.473118278169</v>
          </cell>
          <cell r="AI40">
            <v>1.4060401890053543E-2</v>
          </cell>
          <cell r="AJ40">
            <v>36.108807231377639</v>
          </cell>
          <cell r="AK40">
            <v>49.968146358467664</v>
          </cell>
          <cell r="AL40">
            <v>72.263651671878748</v>
          </cell>
          <cell r="AM40">
            <v>0</v>
          </cell>
          <cell r="AN40">
            <v>12342.473118278169</v>
          </cell>
          <cell r="AO40">
            <v>1.4060401890053542</v>
          </cell>
          <cell r="AP40">
            <v>72.263651671878748</v>
          </cell>
          <cell r="AQ40">
            <v>25</v>
          </cell>
          <cell r="AR40">
            <v>20</v>
          </cell>
          <cell r="AS40">
            <v>2.7069345933690281</v>
          </cell>
          <cell r="AT40">
            <v>15</v>
          </cell>
          <cell r="AU40">
            <v>62.706934593369027</v>
          </cell>
        </row>
        <row r="41">
          <cell r="C41" t="str">
            <v>CARMAUTO</v>
          </cell>
          <cell r="D41" t="str">
            <v>MALAGA</v>
          </cell>
          <cell r="E41" t="str">
            <v>A</v>
          </cell>
          <cell r="F41" t="str">
            <v>NO</v>
          </cell>
          <cell r="G41">
            <v>0</v>
          </cell>
          <cell r="H41">
            <v>97.989013498731865</v>
          </cell>
          <cell r="I41">
            <v>1244.8343009628213</v>
          </cell>
          <cell r="J41">
            <v>276.9824384263099</v>
          </cell>
          <cell r="K41">
            <v>139.90359765845685</v>
          </cell>
          <cell r="L41">
            <v>1149.6700443546933</v>
          </cell>
          <cell r="M41">
            <v>0</v>
          </cell>
          <cell r="N41">
            <v>57.841404925895212</v>
          </cell>
          <cell r="O41">
            <v>272.39070594881781</v>
          </cell>
          <cell r="P41">
            <v>0</v>
          </cell>
          <cell r="Q41">
            <v>0</v>
          </cell>
          <cell r="R41">
            <v>4889.2815501304194</v>
          </cell>
          <cell r="S41">
            <v>82.140324306131532</v>
          </cell>
          <cell r="T41">
            <v>12.861659033812941</v>
          </cell>
          <cell r="U41" t="str">
            <v>B</v>
          </cell>
          <cell r="V41">
            <v>0</v>
          </cell>
          <cell r="W41">
            <v>1</v>
          </cell>
          <cell r="X41">
            <v>0</v>
          </cell>
          <cell r="Y41">
            <v>0</v>
          </cell>
          <cell r="Z41">
            <v>193</v>
          </cell>
          <cell r="AA41">
            <v>139.90359765845685</v>
          </cell>
          <cell r="AB41">
            <v>272.39070594881781</v>
          </cell>
          <cell r="AC41">
            <v>0.51361369754203257</v>
          </cell>
          <cell r="AD41">
            <v>53.249672448403146</v>
          </cell>
          <cell r="AE41">
            <v>193.15327010685974</v>
          </cell>
          <cell r="AF41">
            <v>27.56861036778896</v>
          </cell>
          <cell r="AG41">
            <v>27.56861036778896</v>
          </cell>
          <cell r="AI41">
            <v>1.6800080638420277E-2</v>
          </cell>
          <cell r="AJ41">
            <v>12.861659033812941</v>
          </cell>
          <cell r="AK41">
            <v>82.140324306131532</v>
          </cell>
          <cell r="AL41">
            <v>15.658154679154165</v>
          </cell>
          <cell r="AM41">
            <v>0.51361369754203257</v>
          </cell>
          <cell r="AN41">
            <v>27.56861036778896</v>
          </cell>
          <cell r="AO41">
            <v>1.6800080638420276</v>
          </cell>
          <cell r="AP41">
            <v>15.658154679154165</v>
          </cell>
          <cell r="AQ41">
            <v>25</v>
          </cell>
          <cell r="AR41">
            <v>8.7843051838944799</v>
          </cell>
          <cell r="AS41">
            <v>4.5333870922801838</v>
          </cell>
          <cell r="AT41">
            <v>0</v>
          </cell>
          <cell r="AU41">
            <v>38.317692276174668</v>
          </cell>
        </row>
        <row r="42">
          <cell r="C42" t="str">
            <v>CARRERA MOTOR</v>
          </cell>
          <cell r="D42" t="str">
            <v>SANTANDER</v>
          </cell>
          <cell r="E42" t="str">
            <v>FLA</v>
          </cell>
          <cell r="F42" t="str">
            <v>NO</v>
          </cell>
          <cell r="G42">
            <v>380.35652038032049</v>
          </cell>
          <cell r="H42">
            <v>706.37553640330316</v>
          </cell>
          <cell r="I42">
            <v>3184.0779873306651</v>
          </cell>
          <cell r="J42">
            <v>1259.9978363564242</v>
          </cell>
          <cell r="K42">
            <v>437.59090308078805</v>
          </cell>
          <cell r="L42">
            <v>4111.0369862849038</v>
          </cell>
          <cell r="M42">
            <v>494.69306311829121</v>
          </cell>
          <cell r="N42">
            <v>10.60185352132992</v>
          </cell>
          <cell r="O42">
            <v>476.88507446539973</v>
          </cell>
          <cell r="P42">
            <v>0</v>
          </cell>
          <cell r="Q42">
            <v>0</v>
          </cell>
          <cell r="R42">
            <v>8446.5760340413253</v>
          </cell>
          <cell r="S42">
            <v>157.87385957953194</v>
          </cell>
          <cell r="T42">
            <v>56.909836164100348</v>
          </cell>
          <cell r="U42" t="str">
            <v>B</v>
          </cell>
          <cell r="V42">
            <v>0</v>
          </cell>
          <cell r="W42">
            <v>1</v>
          </cell>
          <cell r="X42">
            <v>0</v>
          </cell>
          <cell r="Y42">
            <v>0</v>
          </cell>
          <cell r="Z42">
            <v>567</v>
          </cell>
          <cell r="AA42">
            <v>551.92744581875877</v>
          </cell>
          <cell r="AB42">
            <v>476.88507446539973</v>
          </cell>
          <cell r="AC42">
            <v>1.1573594464819086</v>
          </cell>
          <cell r="AD42">
            <v>-277.81784525140324</v>
          </cell>
          <cell r="AE42">
            <v>-220.58346255093556</v>
          </cell>
          <cell r="AF42">
            <v>-88</v>
          </cell>
          <cell r="AG42">
            <v>-88</v>
          </cell>
          <cell r="AI42">
            <v>1.8690870589842552E-2</v>
          </cell>
          <cell r="AJ42">
            <v>56.909836164100348</v>
          </cell>
          <cell r="AK42">
            <v>157.87385957953194</v>
          </cell>
          <cell r="AL42">
            <v>36.047662555200247</v>
          </cell>
          <cell r="AM42">
            <v>1.1573594464819086</v>
          </cell>
          <cell r="AN42">
            <v>-88</v>
          </cell>
          <cell r="AO42">
            <v>1.8690870589842552</v>
          </cell>
          <cell r="AP42">
            <v>36.047662555200247</v>
          </cell>
          <cell r="AQ42">
            <v>23.033006918976142</v>
          </cell>
          <cell r="AR42">
            <v>0</v>
          </cell>
          <cell r="AS42">
            <v>5.7939137265617013</v>
          </cell>
          <cell r="AT42">
            <v>8.0238312776001237</v>
          </cell>
          <cell r="AU42">
            <v>36.850751923137963</v>
          </cell>
        </row>
        <row r="43">
          <cell r="C43" t="str">
            <v>CIAMSA</v>
          </cell>
          <cell r="D43" t="str">
            <v>MELILLA</v>
          </cell>
          <cell r="E43" t="str">
            <v>FLA</v>
          </cell>
          <cell r="F43" t="str">
            <v>SI</v>
          </cell>
          <cell r="G43">
            <v>10.247256379743488</v>
          </cell>
          <cell r="H43">
            <v>49.950115995336148</v>
          </cell>
          <cell r="I43">
            <v>974.76350173692504</v>
          </cell>
          <cell r="J43">
            <v>400.34618297212506</v>
          </cell>
          <cell r="K43">
            <v>134.6507518661426</v>
          </cell>
          <cell r="L43">
            <v>422.10282115081799</v>
          </cell>
          <cell r="M43">
            <v>0</v>
          </cell>
          <cell r="N43">
            <v>0</v>
          </cell>
          <cell r="O43">
            <v>878.55348406716917</v>
          </cell>
          <cell r="P43">
            <v>0</v>
          </cell>
          <cell r="Q43">
            <v>0</v>
          </cell>
          <cell r="R43">
            <v>10428.653853088601</v>
          </cell>
          <cell r="S43">
            <v>220.99816090296059</v>
          </cell>
          <cell r="T43">
            <v>161.19144639573042</v>
          </cell>
          <cell r="U43" t="str">
            <v>A</v>
          </cell>
          <cell r="V43">
            <v>1</v>
          </cell>
          <cell r="W43">
            <v>0</v>
          </cell>
          <cell r="X43">
            <v>0</v>
          </cell>
          <cell r="Y43">
            <v>0</v>
          </cell>
          <cell r="Z43">
            <v>81</v>
          </cell>
          <cell r="AA43">
            <v>124.40349548639911</v>
          </cell>
          <cell r="AB43">
            <v>878.55348406716917</v>
          </cell>
          <cell r="AC43">
            <v>0.14160036667373563</v>
          </cell>
          <cell r="AD43">
            <v>478.2073010950441</v>
          </cell>
          <cell r="AE43">
            <v>602.61079658144308</v>
          </cell>
          <cell r="AF43">
            <v>79.355913270699958</v>
          </cell>
          <cell r="AG43">
            <v>79.355913270699958</v>
          </cell>
          <cell r="AI43">
            <v>2.1191436978945148E-2</v>
          </cell>
          <cell r="AJ43">
            <v>161.19144639573042</v>
          </cell>
          <cell r="AK43">
            <v>220.99816090296059</v>
          </cell>
          <cell r="AL43">
            <v>72.93791302928939</v>
          </cell>
          <cell r="AM43">
            <v>0.14160036667373563</v>
          </cell>
          <cell r="AN43">
            <v>79.355913270699958</v>
          </cell>
          <cell r="AO43">
            <v>2.1191436978945148</v>
          </cell>
          <cell r="AP43">
            <v>72.93791302928939</v>
          </cell>
          <cell r="AQ43">
            <v>25</v>
          </cell>
          <cell r="AR43">
            <v>20</v>
          </cell>
          <cell r="AS43">
            <v>7.4609579859634323</v>
          </cell>
          <cell r="AT43">
            <v>15</v>
          </cell>
          <cell r="AU43">
            <v>67.460957985963432</v>
          </cell>
        </row>
        <row r="44">
          <cell r="C44" t="str">
            <v>CIBRAUTO</v>
          </cell>
          <cell r="D44" t="str">
            <v>ORENSE</v>
          </cell>
          <cell r="E44" t="str">
            <v>FLA</v>
          </cell>
          <cell r="F44" t="str">
            <v>NO</v>
          </cell>
          <cell r="G44">
            <v>342.74518288798339</v>
          </cell>
          <cell r="H44">
            <v>251.19901914824564</v>
          </cell>
          <cell r="I44">
            <v>3149.1351435817919</v>
          </cell>
          <cell r="J44">
            <v>915.43158679215799</v>
          </cell>
          <cell r="K44">
            <v>758.65757936364844</v>
          </cell>
          <cell r="L44">
            <v>3079.8023872200788</v>
          </cell>
          <cell r="M44">
            <v>221.86962845431708</v>
          </cell>
          <cell r="N44">
            <v>29.064945367999712</v>
          </cell>
          <cell r="O44">
            <v>569.11639200413492</v>
          </cell>
          <cell r="P44">
            <v>0</v>
          </cell>
          <cell r="Q44">
            <v>0</v>
          </cell>
          <cell r="R44">
            <v>7093.3972810212399</v>
          </cell>
          <cell r="S44">
            <v>155.30753789381319</v>
          </cell>
          <cell r="T44">
            <v>52.330123928695926</v>
          </cell>
          <cell r="U44" t="str">
            <v>B</v>
          </cell>
          <cell r="V44">
            <v>0</v>
          </cell>
          <cell r="W44">
            <v>1</v>
          </cell>
          <cell r="X44">
            <v>0</v>
          </cell>
          <cell r="Y44">
            <v>0</v>
          </cell>
          <cell r="Z44">
            <v>413</v>
          </cell>
          <cell r="AA44">
            <v>637.78202492998207</v>
          </cell>
          <cell r="AB44">
            <v>569.11639200413492</v>
          </cell>
          <cell r="AC44">
            <v>1.120653057776182</v>
          </cell>
          <cell r="AD44">
            <v>-95.380620965706271</v>
          </cell>
          <cell r="AE44">
            <v>320.53177550995861</v>
          </cell>
          <cell r="AF44">
            <v>-29.756993924848139</v>
          </cell>
          <cell r="AG44">
            <v>-29.756993924848139</v>
          </cell>
          <cell r="AI44">
            <v>2.1894662281125396E-2</v>
          </cell>
          <cell r="AJ44">
            <v>52.330123928695926</v>
          </cell>
          <cell r="AK44">
            <v>155.30753789381319</v>
          </cell>
          <cell r="AL44">
            <v>33.694516466081033</v>
          </cell>
          <cell r="AM44">
            <v>1.120653057776182</v>
          </cell>
          <cell r="AN44">
            <v>-29.756993924848139</v>
          </cell>
          <cell r="AO44">
            <v>2.1894662281125394</v>
          </cell>
          <cell r="AP44">
            <v>33.694516466081033</v>
          </cell>
          <cell r="AQ44">
            <v>23.491836777797726</v>
          </cell>
          <cell r="AR44">
            <v>0</v>
          </cell>
          <cell r="AS44">
            <v>7.9297748540835968</v>
          </cell>
          <cell r="AT44">
            <v>6.8472582330405167</v>
          </cell>
          <cell r="AU44">
            <v>38.26886986492184</v>
          </cell>
        </row>
        <row r="45">
          <cell r="C45" t="str">
            <v>CIFISA</v>
          </cell>
          <cell r="D45" t="str">
            <v>CIUDAD REAL</v>
          </cell>
          <cell r="E45" t="str">
            <v>F</v>
          </cell>
          <cell r="F45" t="str">
            <v>NO</v>
          </cell>
          <cell r="G45">
            <v>15.139494909427476</v>
          </cell>
          <cell r="H45">
            <v>204.93911747382592</v>
          </cell>
          <cell r="I45">
            <v>1542.0468068226894</v>
          </cell>
          <cell r="J45">
            <v>340.35315471253591</v>
          </cell>
          <cell r="K45">
            <v>488.07591984902575</v>
          </cell>
          <cell r="L45">
            <v>1085.3978099118917</v>
          </cell>
          <cell r="M45">
            <v>225.2893873282608</v>
          </cell>
          <cell r="N45">
            <v>0</v>
          </cell>
          <cell r="O45">
            <v>303.71545682930054</v>
          </cell>
          <cell r="P45">
            <v>0</v>
          </cell>
          <cell r="Q45">
            <v>0</v>
          </cell>
          <cell r="R45">
            <v>5319.1794982750953</v>
          </cell>
          <cell r="S45">
            <v>51.080018751577661</v>
          </cell>
          <cell r="T45">
            <v>17.122834853893959</v>
          </cell>
          <cell r="U45" t="str">
            <v>C</v>
          </cell>
          <cell r="V45">
            <v>0</v>
          </cell>
          <cell r="W45">
            <v>0</v>
          </cell>
          <cell r="X45">
            <v>1</v>
          </cell>
          <cell r="Y45">
            <v>0</v>
          </cell>
          <cell r="Z45">
            <v>255</v>
          </cell>
          <cell r="AA45">
            <v>698.22581226785906</v>
          </cell>
          <cell r="AB45">
            <v>303.71545682930054</v>
          </cell>
          <cell r="AC45">
            <v>2.2989472434400602</v>
          </cell>
          <cell r="AD45">
            <v>188.65168944502545</v>
          </cell>
          <cell r="AE45">
            <v>661.58811438462362</v>
          </cell>
          <cell r="AF45">
            <v>28.514975608426685</v>
          </cell>
          <cell r="AG45">
            <v>28.514975608426685</v>
          </cell>
          <cell r="AI45">
            <v>9.6029883496396209E-3</v>
          </cell>
          <cell r="AJ45">
            <v>17.122834853893959</v>
          </cell>
          <cell r="AK45">
            <v>51.080018751577661</v>
          </cell>
          <cell r="AL45">
            <v>33.521590775385341</v>
          </cell>
          <cell r="AM45">
            <v>2.2989472434400602</v>
          </cell>
          <cell r="AN45">
            <v>28.514975608426685</v>
          </cell>
          <cell r="AO45">
            <v>0.96029883496396207</v>
          </cell>
          <cell r="AP45">
            <v>33.521590775385341</v>
          </cell>
          <cell r="AQ45">
            <v>8.7631594569992473</v>
          </cell>
          <cell r="AR45">
            <v>9.2574878042133424</v>
          </cell>
          <cell r="AS45">
            <v>0</v>
          </cell>
          <cell r="AT45">
            <v>6.7607953876926707</v>
          </cell>
          <cell r="AU45">
            <v>24.781442648905259</v>
          </cell>
        </row>
        <row r="46">
          <cell r="C46" t="str">
            <v>COFIA</v>
          </cell>
          <cell r="D46" t="str">
            <v>AVILES</v>
          </cell>
          <cell r="E46" t="str">
            <v>FA</v>
          </cell>
          <cell r="F46" t="str">
            <v>NO</v>
          </cell>
          <cell r="G46">
            <v>96.817039895183498</v>
          </cell>
          <cell r="H46">
            <v>233.84178957364202</v>
          </cell>
          <cell r="I46">
            <v>1902.0049763802244</v>
          </cell>
          <cell r="J46">
            <v>155.21137595711178</v>
          </cell>
          <cell r="K46">
            <v>137.98636904547257</v>
          </cell>
          <cell r="L46">
            <v>1849.5245994254324</v>
          </cell>
          <cell r="M46">
            <v>18.631375235897252</v>
          </cell>
          <cell r="N46">
            <v>0</v>
          </cell>
          <cell r="O46">
            <v>381.73283809935936</v>
          </cell>
          <cell r="P46">
            <v>0</v>
          </cell>
          <cell r="Q46">
            <v>0</v>
          </cell>
          <cell r="R46">
            <v>5776.958397942135</v>
          </cell>
          <cell r="S46">
            <v>63.953698027478275</v>
          </cell>
          <cell r="T46">
            <v>25.020133905496856</v>
          </cell>
          <cell r="U46" t="str">
            <v>B</v>
          </cell>
          <cell r="V46">
            <v>0</v>
          </cell>
          <cell r="W46">
            <v>1</v>
          </cell>
          <cell r="X46">
            <v>0</v>
          </cell>
          <cell r="Y46">
            <v>0</v>
          </cell>
          <cell r="Z46">
            <v>362</v>
          </cell>
          <cell r="AA46">
            <v>59.800704386186325</v>
          </cell>
          <cell r="AB46">
            <v>381.73283809935936</v>
          </cell>
          <cell r="AC46">
            <v>0.15665590805321572</v>
          </cell>
          <cell r="AD46">
            <v>245.15283737814485</v>
          </cell>
          <cell r="AE46">
            <v>286.32216652843408</v>
          </cell>
          <cell r="AF46">
            <v>85.621326616288798</v>
          </cell>
          <cell r="AG46">
            <v>85.621326616288798</v>
          </cell>
          <cell r="AI46">
            <v>1.1070479242201194E-2</v>
          </cell>
          <cell r="AJ46">
            <v>25.020133905496856</v>
          </cell>
          <cell r="AK46">
            <v>63.953698027478275</v>
          </cell>
          <cell r="AL46">
            <v>39.122262945211915</v>
          </cell>
          <cell r="AM46">
            <v>0.15665590805321572</v>
          </cell>
          <cell r="AN46">
            <v>85.621326616288798</v>
          </cell>
          <cell r="AO46">
            <v>1.1070479242201194</v>
          </cell>
          <cell r="AP46">
            <v>39.122262945211915</v>
          </cell>
          <cell r="AQ46">
            <v>25</v>
          </cell>
          <cell r="AR46">
            <v>20</v>
          </cell>
          <cell r="AS46">
            <v>0.71365282813412967</v>
          </cell>
          <cell r="AT46">
            <v>9.5611314726059575</v>
          </cell>
          <cell r="AU46">
            <v>55.274784300740087</v>
          </cell>
        </row>
        <row r="47">
          <cell r="C47" t="str">
            <v>CIAL OSCENSE</v>
          </cell>
          <cell r="D47" t="str">
            <v>HUESCA</v>
          </cell>
          <cell r="E47" t="str">
            <v>FLA</v>
          </cell>
          <cell r="F47" t="str">
            <v>NO</v>
          </cell>
          <cell r="G47">
            <v>0</v>
          </cell>
          <cell r="H47">
            <v>271.92191650739846</v>
          </cell>
          <cell r="I47">
            <v>1650.8660584424172</v>
          </cell>
          <cell r="J47">
            <v>400.71280035579917</v>
          </cell>
          <cell r="K47">
            <v>132.57124998497471</v>
          </cell>
          <cell r="L47">
            <v>1590.6025747358551</v>
          </cell>
          <cell r="M47">
            <v>0</v>
          </cell>
          <cell r="N47">
            <v>0</v>
          </cell>
          <cell r="O47">
            <v>600.32695058478475</v>
          </cell>
          <cell r="P47">
            <v>0</v>
          </cell>
          <cell r="Q47">
            <v>0</v>
          </cell>
          <cell r="R47">
            <v>8091.6363155553954</v>
          </cell>
          <cell r="S47">
            <v>177.85751205029268</v>
          </cell>
          <cell r="T47">
            <v>128.68871179065547</v>
          </cell>
          <cell r="U47" t="str">
            <v>A</v>
          </cell>
          <cell r="V47">
            <v>1</v>
          </cell>
          <cell r="W47">
            <v>0</v>
          </cell>
          <cell r="X47">
            <v>0</v>
          </cell>
          <cell r="Y47">
            <v>0</v>
          </cell>
          <cell r="Z47">
            <v>415</v>
          </cell>
          <cell r="AA47">
            <v>132.57124998497471</v>
          </cell>
          <cell r="AB47">
            <v>600.32695058478475</v>
          </cell>
          <cell r="AC47">
            <v>0.22083174819293999</v>
          </cell>
          <cell r="AD47">
            <v>199.61415022898558</v>
          </cell>
          <cell r="AE47">
            <v>332.18540021396052</v>
          </cell>
          <cell r="AF47">
            <v>60.091187060121896</v>
          </cell>
          <cell r="AG47">
            <v>60.091187060121896</v>
          </cell>
          <cell r="AI47">
            <v>2.1980413492927092E-2</v>
          </cell>
          <cell r="AJ47">
            <v>128.68871179065547</v>
          </cell>
          <cell r="AK47">
            <v>177.85751205029268</v>
          </cell>
          <cell r="AL47">
            <v>72.354948805460765</v>
          </cell>
          <cell r="AM47">
            <v>0.22083174819293999</v>
          </cell>
          <cell r="AN47">
            <v>60.091187060121896</v>
          </cell>
          <cell r="AO47">
            <v>2.1980413492927093</v>
          </cell>
          <cell r="AP47">
            <v>72.354948805460765</v>
          </cell>
          <cell r="AQ47">
            <v>25</v>
          </cell>
          <cell r="AR47">
            <v>20</v>
          </cell>
          <cell r="AS47">
            <v>7.9869423286180616</v>
          </cell>
          <cell r="AT47">
            <v>15</v>
          </cell>
          <cell r="AU47">
            <v>67.986942328618056</v>
          </cell>
        </row>
        <row r="48">
          <cell r="C48" t="str">
            <v>CONCECAR</v>
          </cell>
          <cell r="D48" t="str">
            <v>A. HENARES - GUADALAJARA</v>
          </cell>
          <cell r="E48" t="str">
            <v>A</v>
          </cell>
          <cell r="F48" t="str">
            <v>NO</v>
          </cell>
          <cell r="G48">
            <v>190.79129253663169</v>
          </cell>
          <cell r="H48">
            <v>296.20280552450328</v>
          </cell>
          <cell r="I48">
            <v>1358.7501352277236</v>
          </cell>
          <cell r="J48">
            <v>520.44042167009241</v>
          </cell>
          <cell r="K48">
            <v>26.005793756686259</v>
          </cell>
          <cell r="L48">
            <v>1584.6104840551488</v>
          </cell>
          <cell r="M48">
            <v>450.95140216123951</v>
          </cell>
          <cell r="N48">
            <v>18.703496688423304</v>
          </cell>
          <cell r="O48">
            <v>285.91347829745291</v>
          </cell>
          <cell r="P48">
            <v>0</v>
          </cell>
          <cell r="Q48">
            <v>0</v>
          </cell>
          <cell r="R48">
            <v>6113.4169942182634</v>
          </cell>
          <cell r="S48">
            <v>106.71570925438439</v>
          </cell>
          <cell r="T48">
            <v>39.847102520644768</v>
          </cell>
          <cell r="U48" t="str">
            <v>B</v>
          </cell>
          <cell r="V48">
            <v>0</v>
          </cell>
          <cell r="W48">
            <v>1</v>
          </cell>
          <cell r="X48">
            <v>0</v>
          </cell>
          <cell r="Y48">
            <v>0</v>
          </cell>
          <cell r="Z48">
            <v>178</v>
          </cell>
          <cell r="AA48">
            <v>286.16590338129413</v>
          </cell>
          <cell r="AB48">
            <v>285.91347829745291</v>
          </cell>
          <cell r="AC48">
            <v>1.0008828722778105</v>
          </cell>
          <cell r="AD48">
            <v>235.12795547702331</v>
          </cell>
          <cell r="AE48">
            <v>70.342456697077978</v>
          </cell>
          <cell r="AF48">
            <v>334.26179084073777</v>
          </cell>
          <cell r="AG48">
            <v>334.26179084073777</v>
          </cell>
          <cell r="AI48">
            <v>1.7455984002941446E-2</v>
          </cell>
          <cell r="AJ48">
            <v>39.847102520644768</v>
          </cell>
          <cell r="AK48">
            <v>106.71570925438439</v>
          </cell>
          <cell r="AL48">
            <v>37.339490876323495</v>
          </cell>
          <cell r="AM48">
            <v>1.0008828722778105</v>
          </cell>
          <cell r="AN48">
            <v>334.26179084073777</v>
          </cell>
          <cell r="AO48">
            <v>1.7455984002941447</v>
          </cell>
          <cell r="AP48">
            <v>37.339490876323495</v>
          </cell>
          <cell r="AQ48">
            <v>24.988964096527368</v>
          </cell>
          <cell r="AR48">
            <v>20</v>
          </cell>
          <cell r="AS48">
            <v>4.9706560019609647</v>
          </cell>
          <cell r="AT48">
            <v>8.6697454381617476</v>
          </cell>
          <cell r="AU48">
            <v>58.629365536650077</v>
          </cell>
        </row>
        <row r="49">
          <cell r="C49" t="str">
            <v>DAFAL AUTOMOVILI</v>
          </cell>
          <cell r="D49" t="str">
            <v>SEVILLA</v>
          </cell>
          <cell r="E49" t="str">
            <v>FLA</v>
          </cell>
          <cell r="F49" t="str">
            <v>NO</v>
          </cell>
          <cell r="G49">
            <v>266.4767468416814</v>
          </cell>
          <cell r="H49">
            <v>2843.0276585770439</v>
          </cell>
          <cell r="I49">
            <v>5544.3066123351728</v>
          </cell>
          <cell r="J49">
            <v>482.94928659863211</v>
          </cell>
          <cell r="K49">
            <v>406.04377772168334</v>
          </cell>
          <cell r="L49">
            <v>8199.8545550707386</v>
          </cell>
          <cell r="M49">
            <v>74.231005012440946</v>
          </cell>
          <cell r="N49">
            <v>0</v>
          </cell>
          <cell r="O49">
            <v>456.63096654766628</v>
          </cell>
          <cell r="P49">
            <v>1.7053025658242404E-12</v>
          </cell>
          <cell r="Q49" t="str">
            <v>Error</v>
          </cell>
          <cell r="R49">
            <v>26816.006154363949</v>
          </cell>
          <cell r="S49">
            <v>320.04495570540792</v>
          </cell>
          <cell r="T49">
            <v>-214.98803985912278</v>
          </cell>
          <cell r="U49" t="str">
            <v>B</v>
          </cell>
          <cell r="V49">
            <v>0</v>
          </cell>
          <cell r="W49">
            <v>1</v>
          </cell>
          <cell r="X49">
            <v>0</v>
          </cell>
          <cell r="Y49">
            <v>0</v>
          </cell>
          <cell r="Z49">
            <v>1469</v>
          </cell>
          <cell r="AA49">
            <v>213.7980358924429</v>
          </cell>
          <cell r="AB49">
            <v>456.63096654766628</v>
          </cell>
          <cell r="AC49">
            <v>0.4682074838437949</v>
          </cell>
          <cell r="AD49">
            <v>47.912684961475122</v>
          </cell>
          <cell r="AE49">
            <v>187.47971584147854</v>
          </cell>
          <cell r="AF49">
            <v>25.556196704494248</v>
          </cell>
          <cell r="AG49">
            <v>25.556196704494248</v>
          </cell>
          <cell r="AI49">
            <v>1.193484793608331E-2</v>
          </cell>
          <cell r="AJ49">
            <v>-214.98803985912278</v>
          </cell>
          <cell r="AK49">
            <v>320.04495570540792</v>
          </cell>
          <cell r="AL49">
            <v>-67.174325364781879</v>
          </cell>
          <cell r="AM49">
            <v>0.4682074838437949</v>
          </cell>
          <cell r="AN49">
            <v>25.556196704494248</v>
          </cell>
          <cell r="AO49">
            <v>1.193484793608331</v>
          </cell>
          <cell r="AP49">
            <v>-67.174325364781879</v>
          </cell>
          <cell r="AQ49">
            <v>25</v>
          </cell>
          <cell r="AR49">
            <v>7.7780983522471239</v>
          </cell>
          <cell r="AS49">
            <v>1.2898986240555401</v>
          </cell>
          <cell r="AT49">
            <v>0</v>
          </cell>
          <cell r="AU49">
            <v>34.067996976302666</v>
          </cell>
        </row>
        <row r="50">
          <cell r="C50" t="str">
            <v>DAFAL AUTOMOVILII</v>
          </cell>
          <cell r="D50" t="str">
            <v>SEVILLA</v>
          </cell>
          <cell r="E50" t="str">
            <v>FLA</v>
          </cell>
          <cell r="F50" t="str">
            <v>NO</v>
          </cell>
          <cell r="G50">
            <v>92.231317538735226</v>
          </cell>
          <cell r="H50">
            <v>3591.6543459185268</v>
          </cell>
          <cell r="I50">
            <v>2949.2505379058334</v>
          </cell>
          <cell r="J50">
            <v>1448.006442849759</v>
          </cell>
          <cell r="K50">
            <v>3599.5816955753489</v>
          </cell>
          <cell r="L50">
            <v>3518.673446083204</v>
          </cell>
          <cell r="M50">
            <v>497.83635642421842</v>
          </cell>
          <cell r="N50">
            <v>0</v>
          </cell>
          <cell r="O50">
            <v>465.05114613008305</v>
          </cell>
          <cell r="P50">
            <v>0</v>
          </cell>
          <cell r="Q50">
            <v>0</v>
          </cell>
          <cell r="R50">
            <v>19669.088745447334</v>
          </cell>
          <cell r="S50">
            <v>372.5734136285505</v>
          </cell>
          <cell r="T50">
            <v>-117.34160325988965</v>
          </cell>
          <cell r="U50" t="str">
            <v>D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  <cell r="Z50">
            <v>802</v>
          </cell>
          <cell r="AA50">
            <v>4005.1867344608318</v>
          </cell>
          <cell r="AB50">
            <v>465.05114613008305</v>
          </cell>
          <cell r="AC50">
            <v>8.6123575176406728</v>
          </cell>
          <cell r="AD50">
            <v>-485.11894029545749</v>
          </cell>
          <cell r="AE50">
            <v>3022.2314377411558</v>
          </cell>
          <cell r="AF50">
            <v>-16.051680696500199</v>
          </cell>
          <cell r="AG50">
            <v>-16.051680696500199</v>
          </cell>
          <cell r="AI50">
            <v>1.8942078021524381E-2</v>
          </cell>
          <cell r="AJ50">
            <v>-117.34160325988965</v>
          </cell>
          <cell r="AK50">
            <v>372.5734136285505</v>
          </cell>
          <cell r="AL50">
            <v>-31.494894420157767</v>
          </cell>
          <cell r="AM50">
            <v>8.6123575176406728</v>
          </cell>
          <cell r="AN50">
            <v>-16.051680696500199</v>
          </cell>
          <cell r="AO50">
            <v>1.894207802152438</v>
          </cell>
          <cell r="AP50">
            <v>-31.494894420157767</v>
          </cell>
          <cell r="AQ50">
            <v>0</v>
          </cell>
          <cell r="AR50">
            <v>0</v>
          </cell>
          <cell r="AS50">
            <v>5.9613853476829206</v>
          </cell>
          <cell r="AT50">
            <v>0</v>
          </cell>
          <cell r="AU50">
            <v>5.9613853476829206</v>
          </cell>
        </row>
        <row r="51">
          <cell r="C51" t="str">
            <v>DELTAVI</v>
          </cell>
          <cell r="D51" t="str">
            <v>VITORIA</v>
          </cell>
          <cell r="E51" t="str">
            <v>LA</v>
          </cell>
          <cell r="F51" t="str">
            <v>NO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 t="str">
            <v>W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128</v>
          </cell>
          <cell r="AA51">
            <v>0</v>
          </cell>
          <cell r="AB51">
            <v>0</v>
          </cell>
          <cell r="AC51">
            <v>99</v>
          </cell>
          <cell r="AD51">
            <v>0</v>
          </cell>
          <cell r="AE51">
            <v>0</v>
          </cell>
          <cell r="AF51" t="str">
            <v>to check</v>
          </cell>
          <cell r="AG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9900</v>
          </cell>
          <cell r="AM51">
            <v>99</v>
          </cell>
          <cell r="AN51">
            <v>0</v>
          </cell>
          <cell r="AO51">
            <v>0</v>
          </cell>
          <cell r="AP51">
            <v>9900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</row>
        <row r="52">
          <cell r="C52" t="str">
            <v>DIFISA</v>
          </cell>
          <cell r="D52" t="str">
            <v>SABADELL</v>
          </cell>
          <cell r="E52" t="str">
            <v>FLA</v>
          </cell>
          <cell r="F52" t="str">
            <v>NO</v>
          </cell>
          <cell r="G52">
            <v>126.58516942531223</v>
          </cell>
          <cell r="H52">
            <v>2132.4330172009663</v>
          </cell>
          <cell r="I52">
            <v>3719.6759342733162</v>
          </cell>
          <cell r="J52">
            <v>604.55807579964664</v>
          </cell>
          <cell r="K52">
            <v>83.456540814732008</v>
          </cell>
          <cell r="L52">
            <v>4914.890675898213</v>
          </cell>
          <cell r="M52">
            <v>0</v>
          </cell>
          <cell r="N52">
            <v>192.31786328176651</v>
          </cell>
          <cell r="O52">
            <v>1392.5871167045304</v>
          </cell>
          <cell r="P52">
            <v>0</v>
          </cell>
          <cell r="Q52">
            <v>0</v>
          </cell>
          <cell r="R52">
            <v>19068.857956799249</v>
          </cell>
          <cell r="S52">
            <v>261.1517795968411</v>
          </cell>
          <cell r="T52">
            <v>199.77642349716925</v>
          </cell>
          <cell r="U52" t="str">
            <v>A</v>
          </cell>
          <cell r="V52">
            <v>1</v>
          </cell>
          <cell r="W52">
            <v>0</v>
          </cell>
          <cell r="X52">
            <v>0</v>
          </cell>
          <cell r="Y52">
            <v>0</v>
          </cell>
          <cell r="Z52">
            <v>880</v>
          </cell>
          <cell r="AA52">
            <v>-43.128628610580222</v>
          </cell>
          <cell r="AB52">
            <v>1392.5871167045304</v>
          </cell>
          <cell r="AC52">
            <v>0</v>
          </cell>
          <cell r="AD52">
            <v>980.34690418665025</v>
          </cell>
          <cell r="AE52">
            <v>937.21827557606957</v>
          </cell>
          <cell r="AF52">
            <v>104.60176991150448</v>
          </cell>
          <cell r="AG52">
            <v>104.60176991150448</v>
          </cell>
          <cell r="AI52">
            <v>1.3695197698178041E-2</v>
          </cell>
          <cell r="AJ52">
            <v>199.77642349716925</v>
          </cell>
          <cell r="AK52">
            <v>261.1517795968411</v>
          </cell>
          <cell r="AL52">
            <v>76.498204915769136</v>
          </cell>
          <cell r="AM52">
            <v>0</v>
          </cell>
          <cell r="AN52">
            <v>104.60176991150448</v>
          </cell>
          <cell r="AO52">
            <v>1.3695197698178041</v>
          </cell>
          <cell r="AP52">
            <v>76.498204915769136</v>
          </cell>
          <cell r="AQ52">
            <v>25</v>
          </cell>
          <cell r="AR52">
            <v>20</v>
          </cell>
          <cell r="AS52">
            <v>2.463465132118694</v>
          </cell>
          <cell r="AT52">
            <v>15</v>
          </cell>
          <cell r="AU52">
            <v>62.463465132118692</v>
          </cell>
        </row>
        <row r="53">
          <cell r="C53" t="str">
            <v>DOBEL AUTO</v>
          </cell>
          <cell r="D53" t="str">
            <v>BARACALDO</v>
          </cell>
          <cell r="E53" t="str">
            <v>FL</v>
          </cell>
          <cell r="F53" t="str">
            <v>NO</v>
          </cell>
          <cell r="G53">
            <v>203.49067830226102</v>
          </cell>
          <cell r="H53">
            <v>244.0409649850348</v>
          </cell>
          <cell r="I53">
            <v>1640.0959215318596</v>
          </cell>
          <cell r="J53">
            <v>67.806185616578318</v>
          </cell>
          <cell r="K53">
            <v>0</v>
          </cell>
          <cell r="L53">
            <v>1970.5383866431071</v>
          </cell>
          <cell r="M53">
            <v>0</v>
          </cell>
          <cell r="N53">
            <v>0</v>
          </cell>
          <cell r="O53">
            <v>184.8953637926268</v>
          </cell>
          <cell r="P53">
            <v>-2.5579538487363607E-13</v>
          </cell>
          <cell r="Q53" t="str">
            <v>Error</v>
          </cell>
          <cell r="R53">
            <v>5730.6984962677152</v>
          </cell>
          <cell r="S53">
            <v>27.099635786664745</v>
          </cell>
          <cell r="T53">
            <v>-3.9726900099768012</v>
          </cell>
          <cell r="U53" t="str">
            <v>B</v>
          </cell>
          <cell r="V53">
            <v>0</v>
          </cell>
          <cell r="W53">
            <v>1</v>
          </cell>
          <cell r="X53">
            <v>0</v>
          </cell>
          <cell r="Y53">
            <v>0</v>
          </cell>
          <cell r="Z53">
            <v>337</v>
          </cell>
          <cell r="AA53">
            <v>-203.49067830226102</v>
          </cell>
          <cell r="AB53">
            <v>184.8953637926268</v>
          </cell>
          <cell r="AC53">
            <v>0</v>
          </cell>
          <cell r="AD53">
            <v>117.08917817604848</v>
          </cell>
          <cell r="AE53">
            <v>-86.401500126212568</v>
          </cell>
          <cell r="AF53" t="str">
            <v>to check</v>
          </cell>
          <cell r="AG53">
            <v>25</v>
          </cell>
          <cell r="AH53">
            <v>25</v>
          </cell>
          <cell r="AI53">
            <v>4.7288538743251235E-3</v>
          </cell>
          <cell r="AJ53">
            <v>-3.9726900099768012</v>
          </cell>
          <cell r="AK53">
            <v>27.099635786664745</v>
          </cell>
          <cell r="AL53">
            <v>-14.659569749390108</v>
          </cell>
          <cell r="AM53">
            <v>0</v>
          </cell>
          <cell r="AN53">
            <v>25</v>
          </cell>
          <cell r="AO53">
            <v>0.47288538743251235</v>
          </cell>
          <cell r="AP53">
            <v>-14.659569749390108</v>
          </cell>
          <cell r="AQ53">
            <v>25</v>
          </cell>
          <cell r="AR53">
            <v>7.5</v>
          </cell>
          <cell r="AS53">
            <v>0</v>
          </cell>
          <cell r="AT53">
            <v>0</v>
          </cell>
          <cell r="AU53">
            <v>32.5</v>
          </cell>
        </row>
        <row r="54">
          <cell r="C54" t="str">
            <v>DRAGON CANARIAS</v>
          </cell>
          <cell r="D54" t="str">
            <v>LAS PALMAS</v>
          </cell>
          <cell r="E54" t="str">
            <v>FLA</v>
          </cell>
          <cell r="F54" t="str">
            <v>SI</v>
          </cell>
          <cell r="G54">
            <v>441.20899594917842</v>
          </cell>
          <cell r="H54">
            <v>4779.3804767228012</v>
          </cell>
          <cell r="I54">
            <v>6595.4527424182324</v>
          </cell>
          <cell r="J54">
            <v>9334.0064668902432</v>
          </cell>
          <cell r="K54">
            <v>967.31095164256612</v>
          </cell>
          <cell r="L54">
            <v>5551.7531523084872</v>
          </cell>
          <cell r="M54">
            <v>3471.8125323044005</v>
          </cell>
          <cell r="N54">
            <v>386.5709855396488</v>
          </cell>
          <cell r="O54">
            <v>10772.601060185352</v>
          </cell>
          <cell r="P54">
            <v>0</v>
          </cell>
          <cell r="Q54">
            <v>0</v>
          </cell>
          <cell r="R54">
            <v>20708.400947195078</v>
          </cell>
          <cell r="S54">
            <v>327.07679732669817</v>
          </cell>
          <cell r="T54">
            <v>180.23150986260865</v>
          </cell>
          <cell r="U54" t="str">
            <v>A</v>
          </cell>
          <cell r="V54">
            <v>1</v>
          </cell>
          <cell r="W54">
            <v>0</v>
          </cell>
          <cell r="X54">
            <v>0</v>
          </cell>
          <cell r="Y54">
            <v>0</v>
          </cell>
          <cell r="Z54">
            <v>1668</v>
          </cell>
          <cell r="AA54">
            <v>3997.9144879977885</v>
          </cell>
          <cell r="AB54">
            <v>10772.601060185352</v>
          </cell>
          <cell r="AC54">
            <v>0.37111877304857704</v>
          </cell>
          <cell r="AD54">
            <v>5296.9781111391585</v>
          </cell>
          <cell r="AE54">
            <v>5823.0800668325464</v>
          </cell>
          <cell r="AF54">
            <v>90.965228888230627</v>
          </cell>
          <cell r="AG54">
            <v>90.965228888230627</v>
          </cell>
          <cell r="AI54">
            <v>1.5794401420018877E-2</v>
          </cell>
          <cell r="AJ54">
            <v>180.23150986260865</v>
          </cell>
          <cell r="AK54">
            <v>327.07679732669817</v>
          </cell>
          <cell r="AL54">
            <v>55.103728340162803</v>
          </cell>
          <cell r="AM54">
            <v>0.37111877304857704</v>
          </cell>
          <cell r="AN54">
            <v>90.965228888230627</v>
          </cell>
          <cell r="AO54">
            <v>1.5794401420018878</v>
          </cell>
          <cell r="AP54">
            <v>55.103728340162803</v>
          </cell>
          <cell r="AQ54">
            <v>25</v>
          </cell>
          <cell r="AR54">
            <v>20</v>
          </cell>
          <cell r="AS54">
            <v>3.8629342800125848</v>
          </cell>
          <cell r="AT54">
            <v>15</v>
          </cell>
          <cell r="AU54">
            <v>63.862934280012581</v>
          </cell>
        </row>
        <row r="55">
          <cell r="C55" t="str">
            <v>EGARA MOTOR</v>
          </cell>
          <cell r="D55" t="str">
            <v>TARRASA</v>
          </cell>
          <cell r="E55" t="str">
            <v>FLA</v>
          </cell>
          <cell r="F55" t="str">
            <v>NO</v>
          </cell>
          <cell r="G55">
            <v>92.736167706417604</v>
          </cell>
          <cell r="H55">
            <v>431.66492373156399</v>
          </cell>
          <cell r="I55">
            <v>2175.2671498803988</v>
          </cell>
          <cell r="J55">
            <v>330.49054607959806</v>
          </cell>
          <cell r="K55">
            <v>160.22381690767253</v>
          </cell>
          <cell r="L55">
            <v>2208.8637265154521</v>
          </cell>
          <cell r="M55">
            <v>4.8621879244647985</v>
          </cell>
          <cell r="N55">
            <v>14.544492926087532</v>
          </cell>
          <cell r="O55">
            <v>641.66456312430137</v>
          </cell>
          <cell r="P55">
            <v>0</v>
          </cell>
          <cell r="Q55">
            <v>0</v>
          </cell>
          <cell r="R55">
            <v>6499.7295445530272</v>
          </cell>
          <cell r="S55">
            <v>73.32347673482144</v>
          </cell>
          <cell r="T55">
            <v>32.142127342444681</v>
          </cell>
          <cell r="U55" t="str">
            <v>B</v>
          </cell>
          <cell r="V55">
            <v>0</v>
          </cell>
          <cell r="W55">
            <v>1</v>
          </cell>
          <cell r="X55">
            <v>0</v>
          </cell>
          <cell r="Y55">
            <v>0</v>
          </cell>
          <cell r="Z55">
            <v>429</v>
          </cell>
          <cell r="AA55">
            <v>72.349837125719716</v>
          </cell>
          <cell r="AB55">
            <v>641.66456312430137</v>
          </cell>
          <cell r="AC55">
            <v>0.11275336255666704</v>
          </cell>
          <cell r="AD55">
            <v>330.58069789525564</v>
          </cell>
          <cell r="AE55">
            <v>398.06834709651093</v>
          </cell>
          <cell r="AF55">
            <v>83.046215632690576</v>
          </cell>
          <cell r="AG55">
            <v>83.046215632690576</v>
          </cell>
          <cell r="AI55">
            <v>1.1281004268288172E-2</v>
          </cell>
          <cell r="AJ55">
            <v>32.142127342444681</v>
          </cell>
          <cell r="AK55">
            <v>73.32347673482144</v>
          </cell>
          <cell r="AL55">
            <v>43.836065573770497</v>
          </cell>
          <cell r="AM55">
            <v>0.11275336255666704</v>
          </cell>
          <cell r="AN55">
            <v>83.046215632690576</v>
          </cell>
          <cell r="AO55">
            <v>1.1281004268288173</v>
          </cell>
          <cell r="AP55">
            <v>43.836065573770497</v>
          </cell>
          <cell r="AQ55">
            <v>25</v>
          </cell>
          <cell r="AR55">
            <v>20</v>
          </cell>
          <cell r="AS55">
            <v>0.85400284552544847</v>
          </cell>
          <cell r="AT55">
            <v>11.918032786885249</v>
          </cell>
          <cell r="AU55">
            <v>57.772035632410699</v>
          </cell>
        </row>
        <row r="56">
          <cell r="C56" t="str">
            <v>FAZMOTOR</v>
          </cell>
          <cell r="D56" t="str">
            <v>ALICANTE</v>
          </cell>
          <cell r="E56" t="str">
            <v>FL</v>
          </cell>
          <cell r="F56" t="str">
            <v>NO</v>
          </cell>
          <cell r="G56">
            <v>0.21035423653432381</v>
          </cell>
          <cell r="H56">
            <v>592.57990455927779</v>
          </cell>
          <cell r="I56">
            <v>1431.6949743367832</v>
          </cell>
          <cell r="J56">
            <v>124.2292019761278</v>
          </cell>
          <cell r="K56">
            <v>94.593295108963503</v>
          </cell>
          <cell r="L56">
            <v>1506.7673962953613</v>
          </cell>
          <cell r="M56">
            <v>0</v>
          </cell>
          <cell r="N56">
            <v>12.152464750640078</v>
          </cell>
          <cell r="O56">
            <v>535.20127895375811</v>
          </cell>
          <cell r="P56">
            <v>0</v>
          </cell>
          <cell r="Q56">
            <v>0</v>
          </cell>
          <cell r="R56">
            <v>6874.346399336483</v>
          </cell>
          <cell r="S56">
            <v>95.128195881865068</v>
          </cell>
          <cell r="T56">
            <v>80.764006587092666</v>
          </cell>
          <cell r="U56" t="str">
            <v>A</v>
          </cell>
          <cell r="V56">
            <v>1</v>
          </cell>
          <cell r="W56">
            <v>0</v>
          </cell>
          <cell r="X56">
            <v>0</v>
          </cell>
          <cell r="Y56">
            <v>0</v>
          </cell>
          <cell r="Z56">
            <v>380</v>
          </cell>
          <cell r="AA56">
            <v>94.382940872429174</v>
          </cell>
          <cell r="AB56">
            <v>535.20127895375811</v>
          </cell>
          <cell r="AC56">
            <v>0.17635036496350368</v>
          </cell>
          <cell r="AD56">
            <v>423.1245417282704</v>
          </cell>
          <cell r="AE56">
            <v>517.50748260069963</v>
          </cell>
          <cell r="AF56">
            <v>81.762014261491643</v>
          </cell>
          <cell r="AG56">
            <v>81.762014261491643</v>
          </cell>
          <cell r="AI56">
            <v>1.3838144073020078E-2</v>
          </cell>
          <cell r="AJ56">
            <v>80.764006587092666</v>
          </cell>
          <cell r="AK56">
            <v>95.128195881865068</v>
          </cell>
          <cell r="AL56">
            <v>84.9001769016932</v>
          </cell>
          <cell r="AM56">
            <v>0.17635036496350368</v>
          </cell>
          <cell r="AN56">
            <v>81.762014261491643</v>
          </cell>
          <cell r="AO56">
            <v>1.3838144073020078</v>
          </cell>
          <cell r="AP56">
            <v>84.9001769016932</v>
          </cell>
          <cell r="AQ56">
            <v>25</v>
          </cell>
          <cell r="AR56">
            <v>20</v>
          </cell>
          <cell r="AS56">
            <v>2.5587627153467185</v>
          </cell>
          <cell r="AT56">
            <v>15</v>
          </cell>
          <cell r="AU56">
            <v>62.558762715346717</v>
          </cell>
        </row>
        <row r="57">
          <cell r="C57" t="str">
            <v>FIATEIRA MOTOR</v>
          </cell>
          <cell r="D57" t="str">
            <v>LA CORUÑA</v>
          </cell>
          <cell r="E57" t="str">
            <v>FLA</v>
          </cell>
          <cell r="F57" t="str">
            <v>NO</v>
          </cell>
          <cell r="G57">
            <v>333.41146490690323</v>
          </cell>
          <cell r="H57">
            <v>2172.9893140047843</v>
          </cell>
          <cell r="I57">
            <v>4106.8960128856997</v>
          </cell>
          <cell r="J57">
            <v>2286.7969660908971</v>
          </cell>
          <cell r="K57">
            <v>1029.5878258988137</v>
          </cell>
          <cell r="L57">
            <v>5946.6661858569832</v>
          </cell>
          <cell r="M57">
            <v>984.92661642205474</v>
          </cell>
          <cell r="N57">
            <v>0</v>
          </cell>
          <cell r="O57">
            <v>938.91312971043237</v>
          </cell>
          <cell r="P57">
            <v>0</v>
          </cell>
          <cell r="Q57">
            <v>0</v>
          </cell>
          <cell r="R57">
            <v>13190.3345233373</v>
          </cell>
          <cell r="S57">
            <v>-71.622612479415338</v>
          </cell>
          <cell r="T57">
            <v>-212.59601168367533</v>
          </cell>
          <cell r="U57" t="str">
            <v>D</v>
          </cell>
          <cell r="V57">
            <v>0</v>
          </cell>
          <cell r="W57">
            <v>0</v>
          </cell>
          <cell r="X57">
            <v>0</v>
          </cell>
          <cell r="Y57">
            <v>1</v>
          </cell>
          <cell r="Z57">
            <v>775</v>
          </cell>
          <cell r="AA57">
            <v>1681.1029774139652</v>
          </cell>
          <cell r="AB57">
            <v>938.91312971043237</v>
          </cell>
          <cell r="AC57">
            <v>1.7904776535955245</v>
          </cell>
          <cell r="AD57">
            <v>-362.95721995840995</v>
          </cell>
          <cell r="AE57">
            <v>333.21914103350082</v>
          </cell>
          <cell r="AF57">
            <v>-108.92448099850283</v>
          </cell>
          <cell r="AG57">
            <v>-108.92448099850283</v>
          </cell>
          <cell r="AI57">
            <v>-5.4299314663093191E-3</v>
          </cell>
          <cell r="AJ57">
            <v>-212.59601168367533</v>
          </cell>
          <cell r="AK57">
            <v>-71.622612479415338</v>
          </cell>
          <cell r="AL57">
            <v>-9900</v>
          </cell>
          <cell r="AM57">
            <v>1.7904776535955245</v>
          </cell>
          <cell r="AN57">
            <v>-108.92448099850283</v>
          </cell>
          <cell r="AO57">
            <v>-0.5429931466309319</v>
          </cell>
          <cell r="AP57">
            <v>-9900</v>
          </cell>
          <cell r="AQ57">
            <v>15.119029330055945</v>
          </cell>
          <cell r="AR57">
            <v>0</v>
          </cell>
          <cell r="AS57">
            <v>0</v>
          </cell>
          <cell r="AT57">
            <v>0</v>
          </cell>
          <cell r="AU57">
            <v>15.119029330055945</v>
          </cell>
        </row>
        <row r="58">
          <cell r="C58" t="str">
            <v>FIDAUTO</v>
          </cell>
          <cell r="D58" t="str">
            <v>PNTEVEDRA</v>
          </cell>
          <cell r="E58" t="str">
            <v>FL</v>
          </cell>
          <cell r="F58" t="str">
            <v>NO</v>
          </cell>
          <cell r="G58">
            <v>167.91677184378494</v>
          </cell>
          <cell r="H58">
            <v>730.0313728318489</v>
          </cell>
          <cell r="I58">
            <v>2013.8593391270902</v>
          </cell>
          <cell r="J58">
            <v>790.84177755339999</v>
          </cell>
          <cell r="K58">
            <v>0</v>
          </cell>
          <cell r="L58">
            <v>1747.256379743488</v>
          </cell>
          <cell r="M58">
            <v>0</v>
          </cell>
          <cell r="N58">
            <v>0</v>
          </cell>
          <cell r="O58">
            <v>1955.3928816126356</v>
          </cell>
          <cell r="P58">
            <v>0</v>
          </cell>
          <cell r="Q58">
            <v>0</v>
          </cell>
          <cell r="R58">
            <v>5901.1034582236489</v>
          </cell>
          <cell r="S58">
            <v>433.58816246559206</v>
          </cell>
          <cell r="T58">
            <v>424.19434327407356</v>
          </cell>
          <cell r="U58" t="str">
            <v>A</v>
          </cell>
          <cell r="V58">
            <v>1</v>
          </cell>
          <cell r="W58">
            <v>0</v>
          </cell>
          <cell r="X58">
            <v>0</v>
          </cell>
          <cell r="Y58">
            <v>0</v>
          </cell>
          <cell r="Z58">
            <v>302</v>
          </cell>
          <cell r="AA58">
            <v>-167.91677184378494</v>
          </cell>
          <cell r="AB58">
            <v>1955.3928816126356</v>
          </cell>
          <cell r="AC58">
            <v>0</v>
          </cell>
          <cell r="AD58">
            <v>1164.5511040592355</v>
          </cell>
          <cell r="AE58">
            <v>996.63433221545097</v>
          </cell>
          <cell r="AF58">
            <v>116.8483832450882</v>
          </cell>
          <cell r="AG58">
            <v>116.8483832450882</v>
          </cell>
          <cell r="AI58">
            <v>7.3475777121201472E-2</v>
          </cell>
          <cell r="AJ58">
            <v>424.19434327407356</v>
          </cell>
          <cell r="AK58">
            <v>433.58816246559206</v>
          </cell>
          <cell r="AL58">
            <v>97.833469636693792</v>
          </cell>
          <cell r="AM58">
            <v>0</v>
          </cell>
          <cell r="AN58">
            <v>116.8483832450882</v>
          </cell>
          <cell r="AO58">
            <v>7.3475777121201471</v>
          </cell>
          <cell r="AP58">
            <v>97.833469636693792</v>
          </cell>
          <cell r="AQ58">
            <v>25</v>
          </cell>
          <cell r="AR58">
            <v>20</v>
          </cell>
          <cell r="AS58">
            <v>20</v>
          </cell>
          <cell r="AT58">
            <v>15</v>
          </cell>
          <cell r="AU58">
            <v>80</v>
          </cell>
        </row>
        <row r="59">
          <cell r="C59" t="str">
            <v>FIMALAGA</v>
          </cell>
          <cell r="D59" t="str">
            <v>MALAGA</v>
          </cell>
          <cell r="E59" t="str">
            <v>F</v>
          </cell>
          <cell r="F59" t="str">
            <v>NO</v>
          </cell>
          <cell r="G59">
            <v>538.11017753897568</v>
          </cell>
          <cell r="H59">
            <v>1418.2924044090248</v>
          </cell>
          <cell r="I59">
            <v>3882.8146598872504</v>
          </cell>
          <cell r="J59">
            <v>2539.7329102208118</v>
          </cell>
          <cell r="K59">
            <v>0</v>
          </cell>
          <cell r="L59">
            <v>7265.6653805007636</v>
          </cell>
          <cell r="M59">
            <v>0</v>
          </cell>
          <cell r="N59">
            <v>3.9185989205822604</v>
          </cell>
          <cell r="O59">
            <v>1109.3661726347168</v>
          </cell>
          <cell r="P59">
            <v>0</v>
          </cell>
          <cell r="Q59">
            <v>0</v>
          </cell>
          <cell r="R59">
            <v>18397.232940271417</v>
          </cell>
          <cell r="S59">
            <v>190.96558604690298</v>
          </cell>
          <cell r="T59">
            <v>205.97886841440987</v>
          </cell>
          <cell r="U59" t="str">
            <v>B</v>
          </cell>
          <cell r="V59">
            <v>0</v>
          </cell>
          <cell r="W59">
            <v>1</v>
          </cell>
          <cell r="X59">
            <v>0</v>
          </cell>
          <cell r="Y59">
            <v>0</v>
          </cell>
          <cell r="Z59">
            <v>1531</v>
          </cell>
          <cell r="AA59">
            <v>-538.11017753897568</v>
          </cell>
          <cell r="AB59">
            <v>1109.3661726347168</v>
          </cell>
          <cell r="AC59">
            <v>0</v>
          </cell>
          <cell r="AD59">
            <v>-1426.4481386655127</v>
          </cell>
          <cell r="AE59">
            <v>-1964.5583162044886</v>
          </cell>
          <cell r="AF59">
            <v>-88</v>
          </cell>
          <cell r="AG59">
            <v>-88</v>
          </cell>
          <cell r="AI59">
            <v>1.0380125460545788E-2</v>
          </cell>
          <cell r="AJ59">
            <v>205.97886841440987</v>
          </cell>
          <cell r="AK59">
            <v>190.96558604690298</v>
          </cell>
          <cell r="AL59">
            <v>107.86177377730219</v>
          </cell>
          <cell r="AM59">
            <v>0</v>
          </cell>
          <cell r="AN59">
            <v>-88</v>
          </cell>
          <cell r="AO59">
            <v>1.0380125460545788</v>
          </cell>
          <cell r="AP59">
            <v>107.86177377730219</v>
          </cell>
          <cell r="AQ59">
            <v>25</v>
          </cell>
          <cell r="AR59">
            <v>0</v>
          </cell>
          <cell r="AS59">
            <v>0.25341697369719213</v>
          </cell>
          <cell r="AT59">
            <v>15</v>
          </cell>
          <cell r="AU59">
            <v>40.253416973697192</v>
          </cell>
        </row>
        <row r="60">
          <cell r="C60" t="str">
            <v>FISAGA</v>
          </cell>
          <cell r="D60" t="str">
            <v>ALGECIRAS</v>
          </cell>
          <cell r="E60" t="str">
            <v>F</v>
          </cell>
          <cell r="F60" t="str">
            <v>NO</v>
          </cell>
          <cell r="G60">
            <v>96.799009532051983</v>
          </cell>
          <cell r="H60">
            <v>541.38569350786724</v>
          </cell>
          <cell r="I60">
            <v>1368.6608248290122</v>
          </cell>
          <cell r="J60">
            <v>419.6446816438883</v>
          </cell>
          <cell r="K60">
            <v>111.96254492565481</v>
          </cell>
          <cell r="L60">
            <v>1918.0580096883152</v>
          </cell>
          <cell r="M60">
            <v>0</v>
          </cell>
          <cell r="N60">
            <v>27.814840190881444</v>
          </cell>
          <cell r="O60">
            <v>368.65481470796823</v>
          </cell>
          <cell r="P60">
            <v>0</v>
          </cell>
          <cell r="Q60">
            <v>0</v>
          </cell>
          <cell r="R60">
            <v>6501.0217205774525</v>
          </cell>
          <cell r="S60">
            <v>113.10446792398399</v>
          </cell>
          <cell r="T60">
            <v>61.29121440505812</v>
          </cell>
          <cell r="U60" t="str">
            <v>B</v>
          </cell>
          <cell r="V60">
            <v>0</v>
          </cell>
          <cell r="W60">
            <v>1</v>
          </cell>
          <cell r="X60">
            <v>0</v>
          </cell>
          <cell r="Y60">
            <v>0</v>
          </cell>
          <cell r="Z60">
            <v>501</v>
          </cell>
          <cell r="AA60">
            <v>15.163535393602828</v>
          </cell>
          <cell r="AB60">
            <v>368.65481470796823</v>
          </cell>
          <cell r="AC60">
            <v>4.113206931968242E-2</v>
          </cell>
          <cell r="AD60">
            <v>-23.175026745038622</v>
          </cell>
          <cell r="AE60">
            <v>-8.0114913514357795</v>
          </cell>
          <cell r="AF60">
            <v>-88</v>
          </cell>
          <cell r="AG60">
            <v>-88</v>
          </cell>
          <cell r="AI60">
            <v>1.7397952627350628E-2</v>
          </cell>
          <cell r="AJ60">
            <v>61.29121440505812</v>
          </cell>
          <cell r="AK60">
            <v>113.10446792398399</v>
          </cell>
          <cell r="AL60">
            <v>54.189914448164089</v>
          </cell>
          <cell r="AM60">
            <v>4.113206931968242E-2</v>
          </cell>
          <cell r="AN60">
            <v>-88</v>
          </cell>
          <cell r="AO60">
            <v>1.7397952627350628</v>
          </cell>
          <cell r="AP60">
            <v>54.189914448164089</v>
          </cell>
          <cell r="AQ60">
            <v>25</v>
          </cell>
          <cell r="AR60">
            <v>0</v>
          </cell>
          <cell r="AS60">
            <v>4.931968418233752</v>
          </cell>
          <cell r="AT60">
            <v>15</v>
          </cell>
          <cell r="AU60">
            <v>44.931968418233751</v>
          </cell>
        </row>
        <row r="61">
          <cell r="C61" t="str">
            <v>FISUR</v>
          </cell>
          <cell r="D61" t="str">
            <v>HUELVA</v>
          </cell>
          <cell r="E61" t="str">
            <v>FLA</v>
          </cell>
          <cell r="F61" t="str">
            <v>NO</v>
          </cell>
          <cell r="G61">
            <v>55.737862560551974</v>
          </cell>
          <cell r="H61">
            <v>173.13355690983616</v>
          </cell>
          <cell r="I61">
            <v>2132.2527135696514</v>
          </cell>
          <cell r="J61">
            <v>1599.4134121861214</v>
          </cell>
          <cell r="K61">
            <v>202.46294760376475</v>
          </cell>
          <cell r="L61">
            <v>2430.7513853329006</v>
          </cell>
          <cell r="M61">
            <v>793.58239274939001</v>
          </cell>
          <cell r="N61">
            <v>198.33399444664815</v>
          </cell>
          <cell r="O61">
            <v>335.40682509345737</v>
          </cell>
          <cell r="P61">
            <v>0</v>
          </cell>
          <cell r="Q61">
            <v>0</v>
          </cell>
          <cell r="R61">
            <v>7229.7068262954817</v>
          </cell>
          <cell r="S61">
            <v>119.56534804610965</v>
          </cell>
          <cell r="T61">
            <v>33.260009856598515</v>
          </cell>
          <cell r="U61" t="str">
            <v>D</v>
          </cell>
          <cell r="V61">
            <v>0</v>
          </cell>
          <cell r="W61">
            <v>0</v>
          </cell>
          <cell r="X61">
            <v>0</v>
          </cell>
          <cell r="Y61">
            <v>1</v>
          </cell>
          <cell r="Z61">
            <v>492</v>
          </cell>
          <cell r="AA61">
            <v>940.30747779260275</v>
          </cell>
          <cell r="AB61">
            <v>335.40682509345737</v>
          </cell>
          <cell r="AC61">
            <v>2.8034834339778167</v>
          </cell>
          <cell r="AD61">
            <v>-272.09019989662579</v>
          </cell>
          <cell r="AE61">
            <v>-125.36511485341316</v>
          </cell>
          <cell r="AF61">
            <v>-88</v>
          </cell>
          <cell r="AG61">
            <v>-88</v>
          </cell>
          <cell r="AI61">
            <v>1.6538063149564144E-2</v>
          </cell>
          <cell r="AJ61">
            <v>33.260009856598515</v>
          </cell>
          <cell r="AK61">
            <v>119.56534804610965</v>
          </cell>
          <cell r="AL61">
            <v>27.817432391675883</v>
          </cell>
          <cell r="AM61">
            <v>2.8034834339778167</v>
          </cell>
          <cell r="AN61">
            <v>-88</v>
          </cell>
          <cell r="AO61">
            <v>1.6538063149564144</v>
          </cell>
          <cell r="AP61">
            <v>27.817432391675883</v>
          </cell>
          <cell r="AQ61">
            <v>2.4564570752772905</v>
          </cell>
          <cell r="AR61">
            <v>0</v>
          </cell>
          <cell r="AS61">
            <v>4.3587087663760959</v>
          </cell>
          <cell r="AT61">
            <v>3.9087161958379415</v>
          </cell>
          <cell r="AU61">
            <v>10.723882037491329</v>
          </cell>
        </row>
        <row r="62">
          <cell r="C62" t="str">
            <v>FLICK EXTREMAD.</v>
          </cell>
          <cell r="D62" t="str">
            <v>BADAJOZ</v>
          </cell>
          <cell r="E62" t="str">
            <v>FLA</v>
          </cell>
          <cell r="F62" t="str">
            <v>NO</v>
          </cell>
          <cell r="G62">
            <v>128.44830694890194</v>
          </cell>
          <cell r="H62">
            <v>519.43673145577156</v>
          </cell>
          <cell r="I62">
            <v>2789.1288930559062</v>
          </cell>
          <cell r="J62">
            <v>465.30958133496807</v>
          </cell>
          <cell r="K62">
            <v>139.11627180171408</v>
          </cell>
          <cell r="L62">
            <v>3431.6949743367832</v>
          </cell>
          <cell r="M62">
            <v>0</v>
          </cell>
          <cell r="N62">
            <v>9.9707908117269479</v>
          </cell>
          <cell r="O62">
            <v>321.54147584532353</v>
          </cell>
          <cell r="P62">
            <v>5.1159076974727213E-13</v>
          </cell>
          <cell r="Q62" t="str">
            <v>Error</v>
          </cell>
          <cell r="R62">
            <v>11049.174810380682</v>
          </cell>
          <cell r="S62">
            <v>-51.915425576671119</v>
          </cell>
          <cell r="T62">
            <v>-140.30026564735013</v>
          </cell>
          <cell r="U62" t="str">
            <v>C</v>
          </cell>
          <cell r="V62">
            <v>0</v>
          </cell>
          <cell r="W62">
            <v>0</v>
          </cell>
          <cell r="X62">
            <v>1</v>
          </cell>
          <cell r="Y62">
            <v>0</v>
          </cell>
          <cell r="Z62">
            <v>748</v>
          </cell>
          <cell r="AA62">
            <v>10.667964852812133</v>
          </cell>
          <cell r="AB62">
            <v>321.54147584532353</v>
          </cell>
          <cell r="AC62">
            <v>3.3177570093457939E-2</v>
          </cell>
          <cell r="AD62">
            <v>-133.7973146779176</v>
          </cell>
          <cell r="AE62">
            <v>-123.12934982510524</v>
          </cell>
          <cell r="AF62">
            <v>-88</v>
          </cell>
          <cell r="AG62">
            <v>-88</v>
          </cell>
          <cell r="AI62">
            <v>-4.6985794385203013E-3</v>
          </cell>
          <cell r="AJ62">
            <v>-140.30026564735013</v>
          </cell>
          <cell r="AK62">
            <v>-51.915425576671119</v>
          </cell>
          <cell r="AL62">
            <v>-9900</v>
          </cell>
          <cell r="AM62">
            <v>3.3177570093457939E-2</v>
          </cell>
          <cell r="AN62">
            <v>-88</v>
          </cell>
          <cell r="AO62">
            <v>-0.46985794385203011</v>
          </cell>
          <cell r="AP62">
            <v>-9900</v>
          </cell>
          <cell r="AQ62">
            <v>25</v>
          </cell>
          <cell r="AR62">
            <v>0</v>
          </cell>
          <cell r="AS62">
            <v>0</v>
          </cell>
          <cell r="AT62">
            <v>0</v>
          </cell>
          <cell r="AU62">
            <v>25</v>
          </cell>
        </row>
        <row r="63">
          <cell r="C63" t="str">
            <v>FLI CK TENERIFE</v>
          </cell>
          <cell r="D63" t="str">
            <v>TENERIFE</v>
          </cell>
          <cell r="E63" t="str">
            <v>F</v>
          </cell>
          <cell r="F63" t="str">
            <v>SI</v>
          </cell>
          <cell r="G63">
            <v>418.508768766603</v>
          </cell>
          <cell r="H63">
            <v>1400.0336566778456</v>
          </cell>
          <cell r="I63">
            <v>4083.3303282728116</v>
          </cell>
          <cell r="J63">
            <v>7591.0893945404059</v>
          </cell>
          <cell r="K63">
            <v>3332.7323212289498</v>
          </cell>
          <cell r="L63">
            <v>4453.9564626831589</v>
          </cell>
          <cell r="M63">
            <v>3332.7323212289498</v>
          </cell>
          <cell r="N63">
            <v>0</v>
          </cell>
          <cell r="O63">
            <v>2373.5410431166083</v>
          </cell>
          <cell r="P63">
            <v>0</v>
          </cell>
          <cell r="Q63">
            <v>0</v>
          </cell>
          <cell r="R63">
            <v>16591.233637445457</v>
          </cell>
          <cell r="S63">
            <v>414.27163343069731</v>
          </cell>
          <cell r="T63">
            <v>240.09231545923336</v>
          </cell>
          <cell r="U63" t="str">
            <v>C</v>
          </cell>
          <cell r="V63">
            <v>0</v>
          </cell>
          <cell r="W63">
            <v>0</v>
          </cell>
          <cell r="X63">
            <v>1</v>
          </cell>
          <cell r="Y63">
            <v>0</v>
          </cell>
          <cell r="Z63">
            <v>1206</v>
          </cell>
          <cell r="AA63">
            <v>6246.9558736912968</v>
          </cell>
          <cell r="AB63">
            <v>2373.5410431166083</v>
          </cell>
          <cell r="AC63">
            <v>2.631913988514246</v>
          </cell>
          <cell r="AD63">
            <v>-1884.8160301948483</v>
          </cell>
          <cell r="AE63">
            <v>1029.4075222674983</v>
          </cell>
          <cell r="AF63">
            <v>-183.09716894657259</v>
          </cell>
          <cell r="AG63">
            <v>-183.09716894657259</v>
          </cell>
          <cell r="AI63">
            <v>2.4969308641143485E-2</v>
          </cell>
          <cell r="AJ63">
            <v>240.09231545923336</v>
          </cell>
          <cell r="AK63">
            <v>414.27163343069731</v>
          </cell>
          <cell r="AL63">
            <v>57.955287324638391</v>
          </cell>
          <cell r="AM63">
            <v>2.631913988514246</v>
          </cell>
          <cell r="AN63">
            <v>-183.09716894657259</v>
          </cell>
          <cell r="AO63">
            <v>2.4969308641143484</v>
          </cell>
          <cell r="AP63">
            <v>57.955287324638391</v>
          </cell>
          <cell r="AQ63">
            <v>4.6010751435719257</v>
          </cell>
          <cell r="AR63">
            <v>0</v>
          </cell>
          <cell r="AS63">
            <v>9.9795390940956565</v>
          </cell>
          <cell r="AT63">
            <v>15</v>
          </cell>
          <cell r="AU63">
            <v>29.580614237667582</v>
          </cell>
        </row>
        <row r="64">
          <cell r="C64" t="str">
            <v>FLORENCIO PRADO</v>
          </cell>
          <cell r="D64" t="str">
            <v>SALAMANCA</v>
          </cell>
          <cell r="E64" t="str">
            <v>FLA</v>
          </cell>
          <cell r="F64" t="str">
            <v>NO</v>
          </cell>
          <cell r="G64">
            <v>65.852896277331027</v>
          </cell>
          <cell r="H64">
            <v>312.02144411188442</v>
          </cell>
          <cell r="I64">
            <v>3057.3966559686514</v>
          </cell>
          <cell r="J64">
            <v>103.12165687016937</v>
          </cell>
          <cell r="K64">
            <v>0</v>
          </cell>
          <cell r="L64">
            <v>2576.010000841417</v>
          </cell>
          <cell r="M64">
            <v>0</v>
          </cell>
          <cell r="N64">
            <v>0</v>
          </cell>
          <cell r="O64">
            <v>962.38265238661904</v>
          </cell>
          <cell r="P64">
            <v>0</v>
          </cell>
          <cell r="Q64">
            <v>0</v>
          </cell>
          <cell r="R64">
            <v>8319.5881865060765</v>
          </cell>
          <cell r="S64">
            <v>198.59843977257702</v>
          </cell>
          <cell r="T64">
            <v>68.593511473321072</v>
          </cell>
          <cell r="U64" t="str">
            <v>A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464</v>
          </cell>
          <cell r="AA64">
            <v>-65.852896277331027</v>
          </cell>
          <cell r="AB64">
            <v>962.38265238661904</v>
          </cell>
          <cell r="AC64">
            <v>0</v>
          </cell>
          <cell r="AD64">
            <v>859.26099551644961</v>
          </cell>
          <cell r="AE64">
            <v>793.40809923911866</v>
          </cell>
          <cell r="AF64">
            <v>108.30000303002755</v>
          </cell>
          <cell r="AG64">
            <v>108.30000303002755</v>
          </cell>
          <cell r="AI64">
            <v>2.3871186328031594E-2</v>
          </cell>
          <cell r="AJ64">
            <v>68.593511473321072</v>
          </cell>
          <cell r="AK64">
            <v>198.59843977257702</v>
          </cell>
          <cell r="AL64">
            <v>34.538796755840693</v>
          </cell>
          <cell r="AM64">
            <v>0</v>
          </cell>
          <cell r="AN64">
            <v>108.30000303002755</v>
          </cell>
          <cell r="AO64">
            <v>2.3871186328031593</v>
          </cell>
          <cell r="AP64">
            <v>34.538796755840693</v>
          </cell>
          <cell r="AQ64">
            <v>25</v>
          </cell>
          <cell r="AR64">
            <v>20</v>
          </cell>
          <cell r="AS64">
            <v>9.2474575520210625</v>
          </cell>
          <cell r="AT64">
            <v>7.2693983779203464</v>
          </cell>
          <cell r="AU64">
            <v>61.516855929941407</v>
          </cell>
        </row>
        <row r="65">
          <cell r="C65" t="str">
            <v>GARAJE SALA</v>
          </cell>
          <cell r="D65" t="str">
            <v>FIGUERAS</v>
          </cell>
          <cell r="E65" t="str">
            <v>FA</v>
          </cell>
          <cell r="F65" t="str">
            <v>NO</v>
          </cell>
          <cell r="G65">
            <v>55.395285661053215</v>
          </cell>
          <cell r="H65">
            <v>502.44611926484203</v>
          </cell>
          <cell r="I65">
            <v>1483.508227855709</v>
          </cell>
          <cell r="J65">
            <v>306.64839589869342</v>
          </cell>
          <cell r="K65">
            <v>265.51512747466734</v>
          </cell>
          <cell r="L65">
            <v>1233.2467875903021</v>
          </cell>
          <cell r="M65">
            <v>28.662267258062577</v>
          </cell>
          <cell r="N65">
            <v>54.752202709362571</v>
          </cell>
          <cell r="O65">
            <v>765.8216436479031</v>
          </cell>
          <cell r="P65">
            <v>0</v>
          </cell>
          <cell r="Q65">
            <v>0</v>
          </cell>
          <cell r="R65">
            <v>6090.7948986092579</v>
          </cell>
          <cell r="S65">
            <v>81.563352685923093</v>
          </cell>
          <cell r="T65">
            <v>51.061988388446146</v>
          </cell>
          <cell r="U65" t="str">
            <v>A</v>
          </cell>
          <cell r="V65">
            <v>1</v>
          </cell>
          <cell r="W65">
            <v>0</v>
          </cell>
          <cell r="X65">
            <v>0</v>
          </cell>
          <cell r="Y65">
            <v>0</v>
          </cell>
          <cell r="Z65">
            <v>325</v>
          </cell>
          <cell r="AA65">
            <v>238.7821090716767</v>
          </cell>
          <cell r="AB65">
            <v>765.8216436479031</v>
          </cell>
          <cell r="AC65">
            <v>0.31179859051027292</v>
          </cell>
          <cell r="AD65">
            <v>542.58771771663487</v>
          </cell>
          <cell r="AE65">
            <v>752.707559530249</v>
          </cell>
          <cell r="AF65">
            <v>72.084797189396369</v>
          </cell>
          <cell r="AG65">
            <v>72.084797189396369</v>
          </cell>
          <cell r="AI65">
            <v>1.3391249261167351E-2</v>
          </cell>
          <cell r="AJ65">
            <v>51.061988388446146</v>
          </cell>
          <cell r="AK65">
            <v>81.563352685923093</v>
          </cell>
          <cell r="AL65">
            <v>62.60408223417582</v>
          </cell>
          <cell r="AM65">
            <v>0.31179859051027292</v>
          </cell>
          <cell r="AN65">
            <v>72.084797189396369</v>
          </cell>
          <cell r="AO65">
            <v>1.3391249261167351</v>
          </cell>
          <cell r="AP65">
            <v>62.60408223417582</v>
          </cell>
          <cell r="AQ65">
            <v>25</v>
          </cell>
          <cell r="AR65">
            <v>20</v>
          </cell>
          <cell r="AS65">
            <v>2.2608328407782339</v>
          </cell>
          <cell r="AT65">
            <v>15</v>
          </cell>
          <cell r="AU65">
            <v>62.260832840778235</v>
          </cell>
        </row>
        <row r="66">
          <cell r="C66" t="str">
            <v>GARAJE INTERNAC.</v>
          </cell>
          <cell r="D66" t="str">
            <v>GERONA</v>
          </cell>
          <cell r="E66" t="str">
            <v>FLA</v>
          </cell>
          <cell r="F66" t="str">
            <v>NO</v>
          </cell>
          <cell r="G66">
            <v>27.159736997103121</v>
          </cell>
          <cell r="H66">
            <v>505.21077494500742</v>
          </cell>
          <cell r="I66">
            <v>3106.282980539228</v>
          </cell>
          <cell r="J66">
            <v>404.55326770281152</v>
          </cell>
          <cell r="K66">
            <v>0</v>
          </cell>
          <cell r="L66">
            <v>3208.8276657891893</v>
          </cell>
          <cell r="M66">
            <v>348.58702054259373</v>
          </cell>
          <cell r="N66">
            <v>0</v>
          </cell>
          <cell r="O66">
            <v>485.79207385236742</v>
          </cell>
          <cell r="P66">
            <v>-4.5474735088646412E-13</v>
          </cell>
          <cell r="Q66" t="str">
            <v>Error</v>
          </cell>
          <cell r="R66">
            <v>9722.8432680634196</v>
          </cell>
          <cell r="S66">
            <v>183.02020602694938</v>
          </cell>
          <cell r="T66">
            <v>37.04638611421634</v>
          </cell>
          <cell r="U66" t="str">
            <v>B</v>
          </cell>
          <cell r="V66">
            <v>0</v>
          </cell>
          <cell r="W66">
            <v>1</v>
          </cell>
          <cell r="X66">
            <v>0</v>
          </cell>
          <cell r="Y66">
            <v>0</v>
          </cell>
          <cell r="Z66">
            <v>589</v>
          </cell>
          <cell r="AA66">
            <v>321.42728354549064</v>
          </cell>
          <cell r="AB66">
            <v>485.79207385236742</v>
          </cell>
          <cell r="AC66">
            <v>0.66165608878001714</v>
          </cell>
          <cell r="AD66">
            <v>429.82582669214963</v>
          </cell>
          <cell r="AE66">
            <v>402.66608969504614</v>
          </cell>
          <cell r="AF66">
            <v>106.74497746201388</v>
          </cell>
          <cell r="AG66">
            <v>106.74497746201388</v>
          </cell>
          <cell r="AI66">
            <v>1.8823733035799831E-2</v>
          </cell>
          <cell r="AJ66">
            <v>37.04638611421634</v>
          </cell>
          <cell r="AK66">
            <v>183.02020602694938</v>
          </cell>
          <cell r="AL66">
            <v>20.241691842900302</v>
          </cell>
          <cell r="AM66">
            <v>0.66165608878001714</v>
          </cell>
          <cell r="AN66">
            <v>106.74497746201388</v>
          </cell>
          <cell r="AO66">
            <v>1.882373303579983</v>
          </cell>
          <cell r="AP66">
            <v>20.241691842900302</v>
          </cell>
          <cell r="AQ66">
            <v>25</v>
          </cell>
          <cell r="AR66">
            <v>20</v>
          </cell>
          <cell r="AS66">
            <v>5.8824886905332194</v>
          </cell>
          <cell r="AT66">
            <v>0.12084592145015093</v>
          </cell>
          <cell r="AU66">
            <v>51.003334611983369</v>
          </cell>
        </row>
        <row r="67">
          <cell r="C67" t="str">
            <v xml:space="preserve">GARCIA RODRIGUEZ </v>
          </cell>
          <cell r="D67" t="str">
            <v>OVIEDO</v>
          </cell>
          <cell r="E67" t="str">
            <v>FLA</v>
          </cell>
          <cell r="F67" t="str">
            <v>NO</v>
          </cell>
          <cell r="G67">
            <v>126.02021804719148</v>
          </cell>
          <cell r="H67">
            <v>841.42896637938293</v>
          </cell>
          <cell r="I67">
            <v>4785.7692353924012</v>
          </cell>
          <cell r="J67">
            <v>790.12056302813937</v>
          </cell>
          <cell r="K67">
            <v>625.35910473236936</v>
          </cell>
          <cell r="L67">
            <v>4834.162730037383</v>
          </cell>
          <cell r="M67">
            <v>377.17716634813024</v>
          </cell>
          <cell r="N67">
            <v>83.053862704794881</v>
          </cell>
          <cell r="O67">
            <v>623.58611902443715</v>
          </cell>
          <cell r="P67">
            <v>0</v>
          </cell>
          <cell r="Q67">
            <v>0</v>
          </cell>
          <cell r="R67">
            <v>11149.627973507386</v>
          </cell>
          <cell r="S67">
            <v>178.06786628682701</v>
          </cell>
          <cell r="T67">
            <v>54.950536703809213</v>
          </cell>
          <cell r="U67" t="str">
            <v>B</v>
          </cell>
          <cell r="V67">
            <v>0</v>
          </cell>
          <cell r="W67">
            <v>1</v>
          </cell>
          <cell r="X67">
            <v>0</v>
          </cell>
          <cell r="Y67">
            <v>0</v>
          </cell>
          <cell r="Z67">
            <v>700</v>
          </cell>
          <cell r="AA67">
            <v>876.51605303330803</v>
          </cell>
          <cell r="AB67">
            <v>623.58611902443715</v>
          </cell>
          <cell r="AC67">
            <v>1.4056054589614093</v>
          </cell>
          <cell r="AD67">
            <v>293.69658504922279</v>
          </cell>
          <cell r="AE67">
            <v>793.03547173440074</v>
          </cell>
          <cell r="AF67">
            <v>37.034482758620676</v>
          </cell>
          <cell r="AG67">
            <v>37.034482758620676</v>
          </cell>
          <cell r="AI67">
            <v>1.597074509660177E-2</v>
          </cell>
          <cell r="AJ67">
            <v>54.950536703809213</v>
          </cell>
          <cell r="AK67">
            <v>178.06786628682701</v>
          </cell>
          <cell r="AL67">
            <v>30.859322262724447</v>
          </cell>
          <cell r="AM67">
            <v>1.4056054589614093</v>
          </cell>
          <cell r="AN67">
            <v>37.034482758620676</v>
          </cell>
          <cell r="AO67">
            <v>1.5970745096601771</v>
          </cell>
          <cell r="AP67">
            <v>30.859322262724447</v>
          </cell>
          <cell r="AQ67">
            <v>19.929931762982385</v>
          </cell>
          <cell r="AR67">
            <v>13.517241379310338</v>
          </cell>
          <cell r="AS67">
            <v>3.9804967310678467</v>
          </cell>
          <cell r="AT67">
            <v>5.4296611313622236</v>
          </cell>
          <cell r="AU67">
            <v>42.857331004722795</v>
          </cell>
        </row>
        <row r="68">
          <cell r="C68" t="str">
            <v>GRANDI CENTRI III</v>
          </cell>
          <cell r="D68" t="str">
            <v>VALENCIA</v>
          </cell>
          <cell r="E68" t="str">
            <v>FLA</v>
          </cell>
          <cell r="F68" t="str">
            <v>NO</v>
          </cell>
          <cell r="G68">
            <v>39.173968963734929</v>
          </cell>
          <cell r="H68">
            <v>2015.1394949094276</v>
          </cell>
          <cell r="I68">
            <v>5442.3929897948146</v>
          </cell>
          <cell r="J68">
            <v>1025.3687209260395</v>
          </cell>
          <cell r="K68">
            <v>1347.204692702511</v>
          </cell>
          <cell r="L68">
            <v>6367.8614787301822</v>
          </cell>
          <cell r="M68">
            <v>10.818217878908081</v>
          </cell>
          <cell r="N68">
            <v>471.16343923166613</v>
          </cell>
          <cell r="O68">
            <v>325.02734605074949</v>
          </cell>
          <cell r="P68">
            <v>-1.0231815394945443E-12</v>
          </cell>
          <cell r="Q68" t="str">
            <v>Error</v>
          </cell>
          <cell r="R68">
            <v>28980.509177454835</v>
          </cell>
          <cell r="S68">
            <v>260.88132414986836</v>
          </cell>
          <cell r="T68">
            <v>-4.3693579988700977</v>
          </cell>
          <cell r="U68" t="str">
            <v>D</v>
          </cell>
          <cell r="V68">
            <v>0</v>
          </cell>
          <cell r="W68">
            <v>0</v>
          </cell>
          <cell r="X68">
            <v>0</v>
          </cell>
          <cell r="Y68">
            <v>1</v>
          </cell>
          <cell r="Z68">
            <v>1898</v>
          </cell>
          <cell r="AA68">
            <v>1318.8489416176842</v>
          </cell>
          <cell r="AB68">
            <v>325.02734605074949</v>
          </cell>
          <cell r="AC68">
            <v>4.057655325443787</v>
          </cell>
          <cell r="AD68">
            <v>-218.35971776471581</v>
          </cell>
          <cell r="AE68">
            <v>1089.6710059740599</v>
          </cell>
          <cell r="AF68">
            <v>-20.039050003860886</v>
          </cell>
          <cell r="AG68">
            <v>-20.039050003860886</v>
          </cell>
          <cell r="AI68">
            <v>9.0019579211816948E-3</v>
          </cell>
          <cell r="AJ68">
            <v>-4.3693579988700977</v>
          </cell>
          <cell r="AK68">
            <v>260.88132414986836</v>
          </cell>
          <cell r="AL68">
            <v>-1.6748450710714864</v>
          </cell>
          <cell r="AM68">
            <v>4.057655325443787</v>
          </cell>
          <cell r="AN68">
            <v>-20.039050003860886</v>
          </cell>
          <cell r="AO68">
            <v>0.90019579211816947</v>
          </cell>
          <cell r="AP68">
            <v>-1.6748450710714864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</row>
        <row r="69">
          <cell r="C69" t="str">
            <v>HOGEI</v>
          </cell>
          <cell r="D69" t="str">
            <v>EIBAR</v>
          </cell>
          <cell r="E69" t="str">
            <v>FA</v>
          </cell>
          <cell r="F69" t="str">
            <v>NO</v>
          </cell>
          <cell r="G69">
            <v>266.14018006322647</v>
          </cell>
          <cell r="H69">
            <v>293.58239274938995</v>
          </cell>
          <cell r="I69">
            <v>1467.202769463777</v>
          </cell>
          <cell r="J69">
            <v>180.51999567271287</v>
          </cell>
          <cell r="K69">
            <v>0</v>
          </cell>
          <cell r="L69">
            <v>1641.6645631243014</v>
          </cell>
          <cell r="M69">
            <v>0</v>
          </cell>
          <cell r="N69">
            <v>0</v>
          </cell>
          <cell r="O69">
            <v>565.78077482480501</v>
          </cell>
          <cell r="P69">
            <v>0</v>
          </cell>
          <cell r="Q69">
            <v>0</v>
          </cell>
          <cell r="R69">
            <v>7972.8162225187216</v>
          </cell>
          <cell r="S69">
            <v>73.065041529936408</v>
          </cell>
          <cell r="T69">
            <v>66.700323344512157</v>
          </cell>
          <cell r="U69" t="str">
            <v>B</v>
          </cell>
          <cell r="V69">
            <v>0</v>
          </cell>
          <cell r="W69">
            <v>1</v>
          </cell>
          <cell r="X69">
            <v>0</v>
          </cell>
          <cell r="Y69">
            <v>0</v>
          </cell>
          <cell r="Z69">
            <v>473</v>
          </cell>
          <cell r="AA69">
            <v>-266.14018006322647</v>
          </cell>
          <cell r="AB69">
            <v>565.78077482480501</v>
          </cell>
          <cell r="AC69">
            <v>0</v>
          </cell>
          <cell r="AD69">
            <v>385.26077915209214</v>
          </cell>
          <cell r="AE69">
            <v>119.12059908886567</v>
          </cell>
          <cell r="AF69">
            <v>323.42078708375374</v>
          </cell>
          <cell r="AG69">
            <v>323.42078708375374</v>
          </cell>
          <cell r="AI69">
            <v>9.1642701262282661E-3</v>
          </cell>
          <cell r="AJ69">
            <v>66.700323344512157</v>
          </cell>
          <cell r="AK69">
            <v>73.065041529936408</v>
          </cell>
          <cell r="AL69">
            <v>91.288969318088348</v>
          </cell>
          <cell r="AM69">
            <v>0</v>
          </cell>
          <cell r="AN69">
            <v>323.42078708375374</v>
          </cell>
          <cell r="AO69">
            <v>0.91642701262282666</v>
          </cell>
          <cell r="AP69">
            <v>91.288969318088348</v>
          </cell>
          <cell r="AQ69">
            <v>25</v>
          </cell>
          <cell r="AR69">
            <v>20</v>
          </cell>
          <cell r="AS69">
            <v>0</v>
          </cell>
          <cell r="AT69">
            <v>15</v>
          </cell>
          <cell r="AU69">
            <v>60</v>
          </cell>
        </row>
        <row r="70">
          <cell r="C70" t="str">
            <v>HUECAR AUT.</v>
          </cell>
          <cell r="D70" t="str">
            <v>CUENCA</v>
          </cell>
          <cell r="E70" t="str">
            <v>FLA</v>
          </cell>
          <cell r="F70" t="str">
            <v>NO</v>
          </cell>
          <cell r="G70">
            <v>165.66898657338959</v>
          </cell>
          <cell r="H70">
            <v>86.653925210053728</v>
          </cell>
          <cell r="I70">
            <v>1032.0099046794803</v>
          </cell>
          <cell r="J70">
            <v>521.29385885831744</v>
          </cell>
          <cell r="K70">
            <v>170.36890122967077</v>
          </cell>
          <cell r="L70">
            <v>1125.3591047323694</v>
          </cell>
          <cell r="M70">
            <v>210.66676282860337</v>
          </cell>
          <cell r="N70">
            <v>206.86836632889788</v>
          </cell>
          <cell r="O70">
            <v>92.363540201699664</v>
          </cell>
          <cell r="P70">
            <v>0</v>
          </cell>
          <cell r="Q70">
            <v>0</v>
          </cell>
          <cell r="R70">
            <v>3790.1866743596215</v>
          </cell>
          <cell r="S70">
            <v>52.51042756001106</v>
          </cell>
          <cell r="T70">
            <v>4.2611758200810161</v>
          </cell>
          <cell r="U70" t="str">
            <v>D</v>
          </cell>
          <cell r="V70">
            <v>0</v>
          </cell>
          <cell r="W70">
            <v>0</v>
          </cell>
          <cell r="X70">
            <v>0</v>
          </cell>
          <cell r="Y70">
            <v>1</v>
          </cell>
          <cell r="Z70">
            <v>190</v>
          </cell>
          <cell r="AA70">
            <v>215.36667748488458</v>
          </cell>
          <cell r="AB70">
            <v>92.363540201699664</v>
          </cell>
          <cell r="AC70">
            <v>2.3317282665278505</v>
          </cell>
          <cell r="AD70">
            <v>-11.395189499116498</v>
          </cell>
          <cell r="AE70">
            <v>-6.6952748428352606</v>
          </cell>
          <cell r="AF70">
            <v>-88</v>
          </cell>
          <cell r="AG70">
            <v>-88</v>
          </cell>
          <cell r="AI70">
            <v>1.3854311692677528E-2</v>
          </cell>
          <cell r="AJ70">
            <v>4.2611758200810161</v>
          </cell>
          <cell r="AK70">
            <v>52.51042756001106</v>
          </cell>
          <cell r="AL70">
            <v>8.114913585899048</v>
          </cell>
          <cell r="AM70">
            <v>2.3317282665278505</v>
          </cell>
          <cell r="AN70">
            <v>-88</v>
          </cell>
          <cell r="AO70">
            <v>1.3854311692677528</v>
          </cell>
          <cell r="AP70">
            <v>8.114913585899048</v>
          </cell>
          <cell r="AQ70">
            <v>8.353396668401869</v>
          </cell>
          <cell r="AR70">
            <v>0</v>
          </cell>
          <cell r="AS70">
            <v>2.5695411284516849</v>
          </cell>
          <cell r="AT70">
            <v>0</v>
          </cell>
          <cell r="AU70">
            <v>10.922937796853553</v>
          </cell>
        </row>
        <row r="71">
          <cell r="C71" t="str">
            <v>IMOLA</v>
          </cell>
          <cell r="D71" t="str">
            <v>CASTELLON</v>
          </cell>
          <cell r="E71" t="str">
            <v>FLA</v>
          </cell>
          <cell r="F71" t="str">
            <v>NO</v>
          </cell>
          <cell r="G71">
            <v>972.04692702511034</v>
          </cell>
          <cell r="H71">
            <v>554.6680610147489</v>
          </cell>
          <cell r="I71">
            <v>4169.9121320303393</v>
          </cell>
          <cell r="J71">
            <v>1310.1643167093387</v>
          </cell>
          <cell r="K71">
            <v>148.23362542521608</v>
          </cell>
          <cell r="L71">
            <v>5026.4445325928864</v>
          </cell>
          <cell r="M71">
            <v>27.009483971007178</v>
          </cell>
          <cell r="N71">
            <v>95.596985323284414</v>
          </cell>
          <cell r="O71">
            <v>1709.5068094671426</v>
          </cell>
          <cell r="P71">
            <v>0</v>
          </cell>
          <cell r="Q71">
            <v>0</v>
          </cell>
          <cell r="R71">
            <v>21601.841501087831</v>
          </cell>
          <cell r="S71">
            <v>379.32277956078036</v>
          </cell>
          <cell r="T71">
            <v>275.30561465507918</v>
          </cell>
          <cell r="U71" t="str">
            <v>A</v>
          </cell>
          <cell r="V71">
            <v>1</v>
          </cell>
          <cell r="W71">
            <v>0</v>
          </cell>
          <cell r="X71">
            <v>0</v>
          </cell>
          <cell r="Y71">
            <v>0</v>
          </cell>
          <cell r="Z71">
            <v>1395</v>
          </cell>
          <cell r="AA71">
            <v>-796.80381762888715</v>
          </cell>
          <cell r="AB71">
            <v>1709.5068094671426</v>
          </cell>
          <cell r="AC71">
            <v>0</v>
          </cell>
          <cell r="AD71">
            <v>521.94896205209557</v>
          </cell>
          <cell r="AE71">
            <v>-301.86433954779841</v>
          </cell>
          <cell r="AF71" t="str">
            <v>to check</v>
          </cell>
          <cell r="AG71">
            <v>50</v>
          </cell>
          <cell r="AH71">
            <v>50</v>
          </cell>
          <cell r="AI71">
            <v>1.7559742744232169E-2</v>
          </cell>
          <cell r="AJ71">
            <v>275.30561465507918</v>
          </cell>
          <cell r="AK71">
            <v>379.32277956078036</v>
          </cell>
          <cell r="AL71">
            <v>72.578191843331126</v>
          </cell>
          <cell r="AM71">
            <v>0</v>
          </cell>
          <cell r="AN71">
            <v>50</v>
          </cell>
          <cell r="AO71">
            <v>1.755974274423217</v>
          </cell>
          <cell r="AP71">
            <v>72.578191843331126</v>
          </cell>
          <cell r="AQ71">
            <v>25</v>
          </cell>
          <cell r="AR71">
            <v>20</v>
          </cell>
          <cell r="AS71">
            <v>5.0398284961547803</v>
          </cell>
          <cell r="AT71">
            <v>15</v>
          </cell>
          <cell r="AU71">
            <v>65.039828496154783</v>
          </cell>
        </row>
        <row r="72">
          <cell r="C72" t="str">
            <v>INAUTO</v>
          </cell>
          <cell r="D72" t="str">
            <v>STA. CRUZ DE TENERIFE</v>
          </cell>
          <cell r="E72" t="str">
            <v>FL</v>
          </cell>
          <cell r="F72" t="str">
            <v>NO</v>
          </cell>
          <cell r="G72">
            <v>1565.3600663517364</v>
          </cell>
          <cell r="H72">
            <v>610.46001466469534</v>
          </cell>
          <cell r="I72">
            <v>1711.796665584845</v>
          </cell>
          <cell r="J72">
            <v>2418.2623538038056</v>
          </cell>
          <cell r="K72">
            <v>473.429254865193</v>
          </cell>
          <cell r="L72">
            <v>1396.3614727200606</v>
          </cell>
          <cell r="M72">
            <v>0</v>
          </cell>
          <cell r="N72">
            <v>67.613861743175505</v>
          </cell>
          <cell r="O72">
            <v>4368.4745110766535</v>
          </cell>
          <cell r="P72">
            <v>0</v>
          </cell>
          <cell r="Q72">
            <v>0</v>
          </cell>
          <cell r="R72">
            <v>13379.100405082159</v>
          </cell>
          <cell r="S72">
            <v>186.77052155830418</v>
          </cell>
          <cell r="T72">
            <v>232.30920870746337</v>
          </cell>
          <cell r="U72" t="str">
            <v>A</v>
          </cell>
          <cell r="V72">
            <v>1</v>
          </cell>
          <cell r="W72">
            <v>0</v>
          </cell>
          <cell r="X72">
            <v>0</v>
          </cell>
          <cell r="Y72">
            <v>0</v>
          </cell>
          <cell r="Z72">
            <v>1588</v>
          </cell>
          <cell r="AA72">
            <v>-1091.9308114865435</v>
          </cell>
          <cell r="AB72">
            <v>4368.4745110766535</v>
          </cell>
          <cell r="AC72">
            <v>0</v>
          </cell>
          <cell r="AD72">
            <v>2017.8260190160231</v>
          </cell>
          <cell r="AE72">
            <v>925.89520752947965</v>
          </cell>
          <cell r="AF72">
            <v>217.93244015163319</v>
          </cell>
          <cell r="AG72">
            <v>217.93244015163319</v>
          </cell>
          <cell r="AI72">
            <v>1.3959871434058293E-2</v>
          </cell>
          <cell r="AJ72">
            <v>232.30920870746337</v>
          </cell>
          <cell r="AK72">
            <v>186.77052155830418</v>
          </cell>
          <cell r="AL72">
            <v>124.38215986613463</v>
          </cell>
          <cell r="AM72">
            <v>0</v>
          </cell>
          <cell r="AN72">
            <v>217.93244015163319</v>
          </cell>
          <cell r="AO72">
            <v>1.3959871434058293</v>
          </cell>
          <cell r="AP72">
            <v>124.38215986613463</v>
          </cell>
          <cell r="AQ72">
            <v>25</v>
          </cell>
          <cell r="AR72">
            <v>20</v>
          </cell>
          <cell r="AS72">
            <v>2.6399142893721956</v>
          </cell>
          <cell r="AT72">
            <v>15</v>
          </cell>
          <cell r="AU72">
            <v>62.639914289372193</v>
          </cell>
        </row>
        <row r="73">
          <cell r="C73" t="str">
            <v>ITALSOLMOTORS III</v>
          </cell>
          <cell r="D73" t="str">
            <v>HOSPITALET</v>
          </cell>
          <cell r="E73" t="str">
            <v>FLA</v>
          </cell>
          <cell r="F73" t="str">
            <v>NO</v>
          </cell>
          <cell r="G73">
            <v>835.00414698352029</v>
          </cell>
          <cell r="H73">
            <v>1567.2171937542823</v>
          </cell>
          <cell r="I73">
            <v>2325.5442164605197</v>
          </cell>
          <cell r="J73">
            <v>294.76638659502601</v>
          </cell>
          <cell r="K73">
            <v>0</v>
          </cell>
          <cell r="L73">
            <v>4746.0603656557641</v>
          </cell>
          <cell r="M73">
            <v>0</v>
          </cell>
          <cell r="N73">
            <v>0</v>
          </cell>
          <cell r="O73">
            <v>276.47157813758372</v>
          </cell>
          <cell r="P73">
            <v>6.8212102632969618E-13</v>
          </cell>
          <cell r="Q73" t="str">
            <v>Error</v>
          </cell>
          <cell r="R73">
            <v>15793.299917060331</v>
          </cell>
          <cell r="S73">
            <v>-173.36795163054583</v>
          </cell>
          <cell r="T73">
            <v>-328.96998545550707</v>
          </cell>
          <cell r="U73" t="str">
            <v>C</v>
          </cell>
          <cell r="V73">
            <v>0</v>
          </cell>
          <cell r="W73">
            <v>0</v>
          </cell>
          <cell r="X73">
            <v>1</v>
          </cell>
          <cell r="Y73">
            <v>0</v>
          </cell>
          <cell r="Z73">
            <v>1387</v>
          </cell>
          <cell r="AA73">
            <v>-835.00414698352029</v>
          </cell>
          <cell r="AB73">
            <v>276.47157813758372</v>
          </cell>
          <cell r="AC73">
            <v>0</v>
          </cell>
          <cell r="AD73">
            <v>-18.294808457442286</v>
          </cell>
          <cell r="AE73">
            <v>-853.29895544096235</v>
          </cell>
          <cell r="AF73">
            <v>-88</v>
          </cell>
          <cell r="AG73">
            <v>-88</v>
          </cell>
          <cell r="AI73">
            <v>-1.0977310159434716E-2</v>
          </cell>
          <cell r="AJ73">
            <v>-328.96998545550707</v>
          </cell>
          <cell r="AK73">
            <v>-173.36795163054583</v>
          </cell>
          <cell r="AL73">
            <v>-9900</v>
          </cell>
          <cell r="AM73">
            <v>0</v>
          </cell>
          <cell r="AN73">
            <v>-88</v>
          </cell>
          <cell r="AO73">
            <v>-1.0977310159434717</v>
          </cell>
          <cell r="AP73">
            <v>-9900</v>
          </cell>
          <cell r="AQ73">
            <v>25</v>
          </cell>
          <cell r="AR73">
            <v>0</v>
          </cell>
          <cell r="AS73">
            <v>0</v>
          </cell>
          <cell r="AT73">
            <v>0</v>
          </cell>
          <cell r="AU73">
            <v>25</v>
          </cell>
        </row>
        <row r="74">
          <cell r="C74" t="str">
            <v>J. GÜELL</v>
          </cell>
          <cell r="D74" t="str">
            <v>VIC</v>
          </cell>
          <cell r="E74" t="str">
            <v>FA</v>
          </cell>
          <cell r="F74" t="str">
            <v>NO</v>
          </cell>
          <cell r="G74">
            <v>36.601637156972345</v>
          </cell>
          <cell r="H74">
            <v>49.77582248506485</v>
          </cell>
          <cell r="I74">
            <v>628.38219561741971</v>
          </cell>
          <cell r="J74">
            <v>140.13198225812269</v>
          </cell>
          <cell r="K74">
            <v>0</v>
          </cell>
          <cell r="L74">
            <v>619.39105453583841</v>
          </cell>
          <cell r="M74">
            <v>0</v>
          </cell>
          <cell r="N74">
            <v>0</v>
          </cell>
          <cell r="O74">
            <v>235.50058298174125</v>
          </cell>
          <cell r="P74">
            <v>0</v>
          </cell>
          <cell r="Q74">
            <v>0</v>
          </cell>
          <cell r="R74">
            <v>2665.4225716105925</v>
          </cell>
          <cell r="S74">
            <v>11.533422283124782</v>
          </cell>
          <cell r="T74">
            <v>5.5112809971992833</v>
          </cell>
          <cell r="U74" t="str">
            <v>B</v>
          </cell>
          <cell r="V74">
            <v>0</v>
          </cell>
          <cell r="W74">
            <v>1</v>
          </cell>
          <cell r="X74">
            <v>0</v>
          </cell>
          <cell r="Y74">
            <v>0</v>
          </cell>
          <cell r="Z74">
            <v>186</v>
          </cell>
          <cell r="AA74">
            <v>-36.601637156972345</v>
          </cell>
          <cell r="AB74">
            <v>235.50058298174125</v>
          </cell>
          <cell r="AC74">
            <v>0</v>
          </cell>
          <cell r="AD74">
            <v>95.368600723618556</v>
          </cell>
          <cell r="AE74">
            <v>58.766963566646155</v>
          </cell>
          <cell r="AF74">
            <v>162.28267539374124</v>
          </cell>
          <cell r="AG74">
            <v>162.28267539374124</v>
          </cell>
          <cell r="AI74">
            <v>4.3270520802094299E-3</v>
          </cell>
          <cell r="AJ74">
            <v>5.5112809971992833</v>
          </cell>
          <cell r="AK74">
            <v>11.533422283124782</v>
          </cell>
          <cell r="AL74">
            <v>47.785304846274101</v>
          </cell>
          <cell r="AM74">
            <v>0</v>
          </cell>
          <cell r="AN74">
            <v>162.28267539374124</v>
          </cell>
          <cell r="AO74">
            <v>0.43270520802094298</v>
          </cell>
          <cell r="AP74">
            <v>47.785304846274101</v>
          </cell>
          <cell r="AQ74">
            <v>25</v>
          </cell>
          <cell r="AR74">
            <v>20</v>
          </cell>
          <cell r="AS74">
            <v>0</v>
          </cell>
          <cell r="AT74">
            <v>13.892652423137051</v>
          </cell>
          <cell r="AU74">
            <v>58.892652423137051</v>
          </cell>
        </row>
        <row r="75">
          <cell r="C75" t="str">
            <v>LEMOTOR</v>
          </cell>
          <cell r="D75" t="str">
            <v>LEON</v>
          </cell>
          <cell r="E75" t="str">
            <v>FL</v>
          </cell>
          <cell r="F75" t="str">
            <v>NO</v>
          </cell>
          <cell r="G75">
            <v>71.574531511064635</v>
          </cell>
          <cell r="H75">
            <v>871.76204728763241</v>
          </cell>
          <cell r="I75">
            <v>1391.0545358383517</v>
          </cell>
          <cell r="J75">
            <v>326.72220018511172</v>
          </cell>
          <cell r="K75">
            <v>0</v>
          </cell>
          <cell r="L75">
            <v>2316.6852980419026</v>
          </cell>
          <cell r="M75">
            <v>59.145601192408016</v>
          </cell>
          <cell r="N75">
            <v>0</v>
          </cell>
          <cell r="O75">
            <v>285.28241558784993</v>
          </cell>
          <cell r="P75">
            <v>0</v>
          </cell>
          <cell r="Q75">
            <v>0</v>
          </cell>
          <cell r="R75">
            <v>3434.4415996538173</v>
          </cell>
          <cell r="S75">
            <v>-65.05956029954443</v>
          </cell>
          <cell r="T75">
            <v>-90.939141514310094</v>
          </cell>
          <cell r="U75" t="str">
            <v>B</v>
          </cell>
          <cell r="V75">
            <v>0</v>
          </cell>
          <cell r="W75">
            <v>1</v>
          </cell>
          <cell r="X75">
            <v>0</v>
          </cell>
          <cell r="Y75">
            <v>0</v>
          </cell>
          <cell r="Z75">
            <v>220</v>
          </cell>
          <cell r="AA75">
            <v>-12.428930318656619</v>
          </cell>
          <cell r="AB75">
            <v>285.28241558784993</v>
          </cell>
          <cell r="AC75">
            <v>0</v>
          </cell>
          <cell r="AD75">
            <v>17.705816595146246</v>
          </cell>
          <cell r="AE75">
            <v>-53.868714915918645</v>
          </cell>
          <cell r="AF75" t="str">
            <v>to check</v>
          </cell>
          <cell r="AG75">
            <v>25</v>
          </cell>
          <cell r="AH75">
            <v>25</v>
          </cell>
          <cell r="AI75">
            <v>-1.8943271682390017E-2</v>
          </cell>
          <cell r="AJ75">
            <v>-90.939141514310094</v>
          </cell>
          <cell r="AK75">
            <v>-65.05956029954443</v>
          </cell>
          <cell r="AL75">
            <v>-9900</v>
          </cell>
          <cell r="AM75">
            <v>0</v>
          </cell>
          <cell r="AN75">
            <v>25</v>
          </cell>
          <cell r="AO75">
            <v>-1.8943271682390017</v>
          </cell>
          <cell r="AP75">
            <v>-9900</v>
          </cell>
          <cell r="AQ75">
            <v>25</v>
          </cell>
          <cell r="AR75">
            <v>7.5</v>
          </cell>
          <cell r="AS75">
            <v>0</v>
          </cell>
          <cell r="AT75">
            <v>0</v>
          </cell>
          <cell r="AU75">
            <v>32.5</v>
          </cell>
        </row>
        <row r="76">
          <cell r="C76" t="str">
            <v>LIDERCAR DOS MIL</v>
          </cell>
          <cell r="D76" t="str">
            <v>A. HENARES - GUADALAJARA</v>
          </cell>
          <cell r="E76" t="str">
            <v>FL</v>
          </cell>
          <cell r="F76" t="str">
            <v>NO</v>
          </cell>
          <cell r="G76">
            <v>529.01085427860517</v>
          </cell>
          <cell r="H76">
            <v>1676.1686680369744</v>
          </cell>
          <cell r="I76">
            <v>5307.1832966715947</v>
          </cell>
          <cell r="J76">
            <v>2660.289928239155</v>
          </cell>
          <cell r="K76">
            <v>830.09988821174863</v>
          </cell>
          <cell r="L76">
            <v>5932.3440674095182</v>
          </cell>
          <cell r="M76">
            <v>913.86294519971636</v>
          </cell>
          <cell r="N76">
            <v>0</v>
          </cell>
          <cell r="O76">
            <v>2496.3458464053465</v>
          </cell>
          <cell r="P76">
            <v>0</v>
          </cell>
          <cell r="Q76">
            <v>0</v>
          </cell>
          <cell r="R76">
            <v>27215.288545911317</v>
          </cell>
          <cell r="S76">
            <v>640.36637697883236</v>
          </cell>
          <cell r="T76">
            <v>528.71635834745712</v>
          </cell>
          <cell r="U76" t="str">
            <v>A</v>
          </cell>
          <cell r="V76">
            <v>1</v>
          </cell>
          <cell r="W76">
            <v>0</v>
          </cell>
          <cell r="X76">
            <v>0</v>
          </cell>
          <cell r="Y76">
            <v>0</v>
          </cell>
          <cell r="Z76">
            <v>1313</v>
          </cell>
          <cell r="AA76">
            <v>1214.9519791328598</v>
          </cell>
          <cell r="AB76">
            <v>2496.3458464053465</v>
          </cell>
          <cell r="AC76">
            <v>0.48669217083135718</v>
          </cell>
          <cell r="AD76">
            <v>749.91886336590778</v>
          </cell>
          <cell r="AE76">
            <v>1051.0078972990505</v>
          </cell>
          <cell r="AF76">
            <v>71.352352850354293</v>
          </cell>
          <cell r="AG76">
            <v>71.352352850354293</v>
          </cell>
          <cell r="AI76">
            <v>2.3529655983568019E-2</v>
          </cell>
          <cell r="AJ76">
            <v>528.71635834745712</v>
          </cell>
          <cell r="AK76">
            <v>640.36637697883236</v>
          </cell>
          <cell r="AL76">
            <v>82.564665690580767</v>
          </cell>
          <cell r="AM76">
            <v>0.48669217083135718</v>
          </cell>
          <cell r="AN76">
            <v>71.352352850354293</v>
          </cell>
          <cell r="AO76">
            <v>2.3529655983568021</v>
          </cell>
          <cell r="AP76">
            <v>82.564665690580767</v>
          </cell>
          <cell r="AQ76">
            <v>25</v>
          </cell>
          <cell r="AR76">
            <v>20</v>
          </cell>
          <cell r="AS76">
            <v>9.0197706557120139</v>
          </cell>
          <cell r="AT76">
            <v>15</v>
          </cell>
          <cell r="AU76">
            <v>69.019770655712023</v>
          </cell>
        </row>
        <row r="77">
          <cell r="C77" t="str">
            <v>LOGROMOTOR</v>
          </cell>
          <cell r="D77" t="str">
            <v>LOGROÑO</v>
          </cell>
          <cell r="E77" t="str">
            <v>FL</v>
          </cell>
          <cell r="F77" t="str">
            <v>NO</v>
          </cell>
          <cell r="G77">
            <v>33.566526029834243</v>
          </cell>
          <cell r="H77">
            <v>1239.2629187551838</v>
          </cell>
          <cell r="I77">
            <v>1553.8326541896554</v>
          </cell>
          <cell r="J77">
            <v>893.93939393939399</v>
          </cell>
          <cell r="K77">
            <v>133.53887947303258</v>
          </cell>
          <cell r="L77">
            <v>2551.1942110514105</v>
          </cell>
          <cell r="M77">
            <v>439.85070859327107</v>
          </cell>
          <cell r="N77">
            <v>0</v>
          </cell>
          <cell r="O77">
            <v>596.01769379635311</v>
          </cell>
          <cell r="P77">
            <v>0</v>
          </cell>
          <cell r="Q77">
            <v>0</v>
          </cell>
          <cell r="R77">
            <v>6661.6962965634129</v>
          </cell>
          <cell r="S77">
            <v>93.511473321072685</v>
          </cell>
          <cell r="T77">
            <v>12.218576082122294</v>
          </cell>
          <cell r="U77" t="str">
            <v>B</v>
          </cell>
          <cell r="V77">
            <v>0</v>
          </cell>
          <cell r="W77">
            <v>1</v>
          </cell>
          <cell r="X77">
            <v>0</v>
          </cell>
          <cell r="Y77">
            <v>0</v>
          </cell>
          <cell r="Z77">
            <v>323</v>
          </cell>
          <cell r="AA77">
            <v>539.82306203646942</v>
          </cell>
          <cell r="AB77">
            <v>596.01769379635311</v>
          </cell>
          <cell r="AC77">
            <v>0.90571650414948213</v>
          </cell>
          <cell r="AD77">
            <v>141.92900845023019</v>
          </cell>
          <cell r="AE77">
            <v>241.90136189342866</v>
          </cell>
          <cell r="AF77">
            <v>58.672265149444684</v>
          </cell>
          <cell r="AG77">
            <v>58.672265149444684</v>
          </cell>
          <cell r="AI77">
            <v>1.4037186499977896E-2</v>
          </cell>
          <cell r="AJ77">
            <v>12.218576082122294</v>
          </cell>
          <cell r="AK77">
            <v>93.511473321072685</v>
          </cell>
          <cell r="AL77">
            <v>13.06639244167363</v>
          </cell>
          <cell r="AM77">
            <v>0.90571650414948213</v>
          </cell>
          <cell r="AN77">
            <v>58.672265149444684</v>
          </cell>
          <cell r="AO77">
            <v>1.4037186499977896</v>
          </cell>
          <cell r="AP77">
            <v>13.06639244167363</v>
          </cell>
          <cell r="AQ77">
            <v>25</v>
          </cell>
          <cell r="AR77">
            <v>20</v>
          </cell>
          <cell r="AS77">
            <v>2.6914576666519308</v>
          </cell>
          <cell r="AT77">
            <v>0</v>
          </cell>
          <cell r="AU77">
            <v>47.691457666651928</v>
          </cell>
        </row>
        <row r="78">
          <cell r="C78" t="str">
            <v>LUCECAR</v>
          </cell>
          <cell r="D78" t="str">
            <v>LUCENA</v>
          </cell>
          <cell r="E78" t="str">
            <v>F</v>
          </cell>
          <cell r="F78" t="str">
            <v>NO</v>
          </cell>
          <cell r="G78">
            <v>83.20411573089082</v>
          </cell>
          <cell r="H78">
            <v>242.00954407221761</v>
          </cell>
          <cell r="I78">
            <v>1049.9200653901171</v>
          </cell>
          <cell r="J78">
            <v>83.997451708677417</v>
          </cell>
          <cell r="K78">
            <v>125.01652783287055</v>
          </cell>
          <cell r="L78">
            <v>964.55831620448839</v>
          </cell>
          <cell r="M78">
            <v>156.99638190713162</v>
          </cell>
          <cell r="N78">
            <v>0</v>
          </cell>
          <cell r="O78">
            <v>212.5599509574123</v>
          </cell>
          <cell r="P78">
            <v>0</v>
          </cell>
          <cell r="Q78">
            <v>0</v>
          </cell>
          <cell r="R78">
            <v>2510.9444304208287</v>
          </cell>
          <cell r="S78">
            <v>49.433245585566091</v>
          </cell>
          <cell r="T78">
            <v>24.719627853304967</v>
          </cell>
          <cell r="U78" t="str">
            <v>A</v>
          </cell>
          <cell r="V78">
            <v>1</v>
          </cell>
          <cell r="W78">
            <v>0</v>
          </cell>
          <cell r="X78">
            <v>0</v>
          </cell>
          <cell r="Y78">
            <v>0</v>
          </cell>
          <cell r="Z78">
            <v>203</v>
          </cell>
          <cell r="AA78">
            <v>198.80879400911135</v>
          </cell>
          <cell r="AB78">
            <v>212.5599509574123</v>
          </cell>
          <cell r="AC78">
            <v>0.93530692453417019</v>
          </cell>
          <cell r="AD78">
            <v>285.55888115586652</v>
          </cell>
          <cell r="AE78">
            <v>327.37129325784622</v>
          </cell>
          <cell r="AF78">
            <v>87.22783183403709</v>
          </cell>
          <cell r="AG78">
            <v>87.22783183403709</v>
          </cell>
          <cell r="AI78">
            <v>1.9687112540870206E-2</v>
          </cell>
          <cell r="AJ78">
            <v>24.719627853304967</v>
          </cell>
          <cell r="AK78">
            <v>49.433245585566091</v>
          </cell>
          <cell r="AL78">
            <v>50.006079027355632</v>
          </cell>
          <cell r="AM78">
            <v>0.93530692453417019</v>
          </cell>
          <cell r="AN78">
            <v>87.22783183403709</v>
          </cell>
          <cell r="AO78">
            <v>1.9687112540870206</v>
          </cell>
          <cell r="AP78">
            <v>50.006079027355632</v>
          </cell>
          <cell r="AQ78">
            <v>25</v>
          </cell>
          <cell r="AR78">
            <v>20</v>
          </cell>
          <cell r="AS78">
            <v>6.4580750272468048</v>
          </cell>
          <cell r="AT78">
            <v>15</v>
          </cell>
          <cell r="AU78">
            <v>66.458075027246807</v>
          </cell>
        </row>
        <row r="79">
          <cell r="C79" t="str">
            <v>LUGOCAR</v>
          </cell>
          <cell r="D79" t="str">
            <v>LUGO</v>
          </cell>
          <cell r="E79" t="str">
            <v>FLA</v>
          </cell>
          <cell r="F79" t="str">
            <v>NO</v>
          </cell>
          <cell r="G79">
            <v>31.012224586203168</v>
          </cell>
          <cell r="H79">
            <v>795.43351003089208</v>
          </cell>
          <cell r="I79">
            <v>2691.716851177383</v>
          </cell>
          <cell r="J79">
            <v>1722.8552883055065</v>
          </cell>
          <cell r="K79">
            <v>557.9736275888597</v>
          </cell>
          <cell r="L79">
            <v>3090.8069188513459</v>
          </cell>
          <cell r="M79">
            <v>138.94197829144278</v>
          </cell>
          <cell r="N79">
            <v>39.420383926532281</v>
          </cell>
          <cell r="O79">
            <v>1413.8749654418041</v>
          </cell>
          <cell r="P79">
            <v>0</v>
          </cell>
          <cell r="Q79">
            <v>0</v>
          </cell>
          <cell r="R79">
            <v>10756.139338646281</v>
          </cell>
          <cell r="S79">
            <v>118.62776916327095</v>
          </cell>
          <cell r="T79">
            <v>58.562619451155747</v>
          </cell>
          <cell r="U79" t="str">
            <v>B</v>
          </cell>
          <cell r="V79">
            <v>0</v>
          </cell>
          <cell r="W79">
            <v>1</v>
          </cell>
          <cell r="X79">
            <v>0</v>
          </cell>
          <cell r="Y79">
            <v>0</v>
          </cell>
          <cell r="Z79">
            <v>617</v>
          </cell>
          <cell r="AA79">
            <v>665.90338129409929</v>
          </cell>
          <cell r="AB79">
            <v>1413.8749654418041</v>
          </cell>
          <cell r="AC79">
            <v>0.47097755994711987</v>
          </cell>
          <cell r="AD79">
            <v>-130.61796064572741</v>
          </cell>
          <cell r="AE79">
            <v>396.34344235692924</v>
          </cell>
          <cell r="AF79">
            <v>-32.955751675613364</v>
          </cell>
          <cell r="AG79">
            <v>-32.955751675613364</v>
          </cell>
          <cell r="AI79">
            <v>1.1028842731429409E-2</v>
          </cell>
          <cell r="AJ79">
            <v>58.562619451155747</v>
          </cell>
          <cell r="AK79">
            <v>118.62776916327095</v>
          </cell>
          <cell r="AL79">
            <v>49.366703820042559</v>
          </cell>
          <cell r="AM79">
            <v>0.47097755994711987</v>
          </cell>
          <cell r="AN79">
            <v>-32.955751675613364</v>
          </cell>
          <cell r="AO79">
            <v>1.1028842731429409</v>
          </cell>
          <cell r="AP79">
            <v>49.366703820042559</v>
          </cell>
          <cell r="AQ79">
            <v>25</v>
          </cell>
          <cell r="AR79">
            <v>0</v>
          </cell>
          <cell r="AS79">
            <v>0.68589515428627279</v>
          </cell>
          <cell r="AT79">
            <v>14.68335191002128</v>
          </cell>
          <cell r="AU79">
            <v>40.369247064307551</v>
          </cell>
        </row>
        <row r="80">
          <cell r="C80" t="str">
            <v>MANRESAUTO</v>
          </cell>
          <cell r="D80" t="str">
            <v>MANRESA</v>
          </cell>
          <cell r="E80" t="str">
            <v>FA</v>
          </cell>
          <cell r="F80" t="str">
            <v>NO</v>
          </cell>
          <cell r="G80">
            <v>18.46910196771363</v>
          </cell>
          <cell r="H80">
            <v>222.78316685298043</v>
          </cell>
          <cell r="I80">
            <v>1684.7631411296625</v>
          </cell>
          <cell r="J80">
            <v>631.05669948192758</v>
          </cell>
          <cell r="K80">
            <v>449.77942855769118</v>
          </cell>
          <cell r="L80">
            <v>1735.8972509706346</v>
          </cell>
          <cell r="M80">
            <v>0</v>
          </cell>
          <cell r="N80">
            <v>2.1936941810008053</v>
          </cell>
          <cell r="O80">
            <v>369.20173572295749</v>
          </cell>
          <cell r="P80">
            <v>4.5474735088646412E-13</v>
          </cell>
          <cell r="Q80" t="str">
            <v>Error</v>
          </cell>
          <cell r="R80">
            <v>6544.0842378565503</v>
          </cell>
          <cell r="S80">
            <v>104.25155962641088</v>
          </cell>
          <cell r="T80">
            <v>6.6532039955284699</v>
          </cell>
          <cell r="U80" t="str">
            <v>C</v>
          </cell>
          <cell r="V80">
            <v>0</v>
          </cell>
          <cell r="W80">
            <v>0</v>
          </cell>
          <cell r="X80">
            <v>1</v>
          </cell>
          <cell r="Y80">
            <v>0</v>
          </cell>
          <cell r="Z80">
            <v>398</v>
          </cell>
          <cell r="AA80">
            <v>431.31032658997754</v>
          </cell>
          <cell r="AB80">
            <v>369.20173572295749</v>
          </cell>
          <cell r="AC80">
            <v>1.1682239947908188</v>
          </cell>
          <cell r="AD80">
            <v>-259.66126957796928</v>
          </cell>
          <cell r="AE80">
            <v>171.64905701200837</v>
          </cell>
          <cell r="AF80">
            <v>-151.27450980392143</v>
          </cell>
          <cell r="AG80">
            <v>-151.27450980392143</v>
          </cell>
          <cell r="AI80">
            <v>1.5930656733195939E-2</v>
          </cell>
          <cell r="AJ80">
            <v>6.6532039955284699</v>
          </cell>
          <cell r="AK80">
            <v>104.25155962641088</v>
          </cell>
          <cell r="AL80">
            <v>6.3818747838118295</v>
          </cell>
          <cell r="AM80">
            <v>1.1682239947908188</v>
          </cell>
          <cell r="AN80">
            <v>-151.27450980392143</v>
          </cell>
          <cell r="AO80">
            <v>1.593065673319594</v>
          </cell>
          <cell r="AP80">
            <v>6.3818747838118295</v>
          </cell>
          <cell r="AQ80">
            <v>22.897200065114763</v>
          </cell>
          <cell r="AR80">
            <v>0</v>
          </cell>
          <cell r="AS80">
            <v>3.9537711554639605</v>
          </cell>
          <cell r="AT80">
            <v>0</v>
          </cell>
          <cell r="AU80">
            <v>26.850971220578725</v>
          </cell>
        </row>
        <row r="81">
          <cell r="C81" t="str">
            <v>MARESME MOVIL</v>
          </cell>
          <cell r="D81" t="str">
            <v>MATARO</v>
          </cell>
          <cell r="E81" t="str">
            <v>FL</v>
          </cell>
          <cell r="F81" t="str">
            <v>NO</v>
          </cell>
          <cell r="G81">
            <v>8.3360378878030605</v>
          </cell>
          <cell r="H81">
            <v>186.46400538506845</v>
          </cell>
          <cell r="I81">
            <v>1634.0196891565397</v>
          </cell>
          <cell r="J81">
            <v>170.95789309196687</v>
          </cell>
          <cell r="K81">
            <v>13.192215691224021</v>
          </cell>
          <cell r="L81">
            <v>2267.6907912925367</v>
          </cell>
          <cell r="M81">
            <v>0</v>
          </cell>
          <cell r="N81">
            <v>0</v>
          </cell>
          <cell r="O81">
            <v>-281.10538146238264</v>
          </cell>
          <cell r="P81">
            <v>0</v>
          </cell>
          <cell r="Q81">
            <v>0</v>
          </cell>
          <cell r="R81">
            <v>6770.4133761253952</v>
          </cell>
          <cell r="S81">
            <v>-24.238818169797941</v>
          </cell>
          <cell r="T81">
            <v>-89.514742826920539</v>
          </cell>
          <cell r="U81" t="str">
            <v>D</v>
          </cell>
          <cell r="V81">
            <v>0</v>
          </cell>
          <cell r="W81">
            <v>0</v>
          </cell>
          <cell r="X81">
            <v>0</v>
          </cell>
          <cell r="Y81">
            <v>1</v>
          </cell>
          <cell r="Z81">
            <v>446</v>
          </cell>
          <cell r="AA81">
            <v>4.8561778034209606</v>
          </cell>
          <cell r="AB81">
            <v>-281.10538146238264</v>
          </cell>
          <cell r="AC81">
            <v>99</v>
          </cell>
          <cell r="AD81">
            <v>-452.0632745543495</v>
          </cell>
          <cell r="AE81">
            <v>-447.20709675092849</v>
          </cell>
          <cell r="AF81">
            <v>-88</v>
          </cell>
          <cell r="AG81">
            <v>-88</v>
          </cell>
          <cell r="AI81">
            <v>-3.5801090455232216E-3</v>
          </cell>
          <cell r="AJ81">
            <v>-89.514742826920539</v>
          </cell>
          <cell r="AK81">
            <v>-24.238818169797941</v>
          </cell>
          <cell r="AL81">
            <v>-9900</v>
          </cell>
          <cell r="AM81">
            <v>99</v>
          </cell>
          <cell r="AN81">
            <v>-88</v>
          </cell>
          <cell r="AO81">
            <v>-0.35801090455232215</v>
          </cell>
          <cell r="AP81">
            <v>-9900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</row>
        <row r="82">
          <cell r="C82" t="str">
            <v>MEDANSA</v>
          </cell>
          <cell r="D82" t="str">
            <v>PAMPLONA</v>
          </cell>
          <cell r="E82" t="str">
            <v>FLA</v>
          </cell>
          <cell r="F82" t="str">
            <v>NO</v>
          </cell>
          <cell r="G82">
            <v>140.12597213707883</v>
          </cell>
          <cell r="H82">
            <v>1007.0138112581587</v>
          </cell>
          <cell r="I82">
            <v>2405.0881684757132</v>
          </cell>
          <cell r="J82">
            <v>717.9931003810417</v>
          </cell>
          <cell r="K82">
            <v>33.157837798853272</v>
          </cell>
          <cell r="L82">
            <v>3245.2489993148461</v>
          </cell>
          <cell r="M82">
            <v>144.24290505210774</v>
          </cell>
          <cell r="N82">
            <v>11.10069356796846</v>
          </cell>
          <cell r="O82">
            <v>836.47061651821673</v>
          </cell>
          <cell r="P82">
            <v>0</v>
          </cell>
          <cell r="Q82">
            <v>0</v>
          </cell>
          <cell r="R82">
            <v>10945.662495642662</v>
          </cell>
          <cell r="S82">
            <v>81.845828374983469</v>
          </cell>
          <cell r="T82">
            <v>57.126200521678506</v>
          </cell>
          <cell r="U82" t="str">
            <v>B</v>
          </cell>
          <cell r="V82">
            <v>0</v>
          </cell>
          <cell r="W82">
            <v>1</v>
          </cell>
          <cell r="X82">
            <v>0</v>
          </cell>
          <cell r="Y82">
            <v>0</v>
          </cell>
          <cell r="Z82">
            <v>646</v>
          </cell>
          <cell r="AA82">
            <v>37.274770713882191</v>
          </cell>
          <cell r="AB82">
            <v>836.47061651821673</v>
          </cell>
          <cell r="AC82">
            <v>4.4561960668788675E-2</v>
          </cell>
          <cell r="AD82">
            <v>273.82111475725117</v>
          </cell>
          <cell r="AE82">
            <v>166.85298041902615</v>
          </cell>
          <cell r="AF82">
            <v>164.10921403357054</v>
          </cell>
          <cell r="AG82">
            <v>164.10921403357054</v>
          </cell>
          <cell r="AI82">
            <v>7.4774668420084503E-3</v>
          </cell>
          <cell r="AJ82">
            <v>57.126200521678506</v>
          </cell>
          <cell r="AK82">
            <v>81.845828374983469</v>
          </cell>
          <cell r="AL82">
            <v>69.797327067117052</v>
          </cell>
          <cell r="AM82">
            <v>4.4561960668788675E-2</v>
          </cell>
          <cell r="AN82">
            <v>164.10921403357054</v>
          </cell>
          <cell r="AO82">
            <v>0.747746684200845</v>
          </cell>
          <cell r="AP82">
            <v>69.797327067117052</v>
          </cell>
          <cell r="AQ82">
            <v>25</v>
          </cell>
          <cell r="AR82">
            <v>20</v>
          </cell>
          <cell r="AS82">
            <v>0</v>
          </cell>
          <cell r="AT82">
            <v>15</v>
          </cell>
          <cell r="AU82">
            <v>60</v>
          </cell>
        </row>
        <row r="83">
          <cell r="C83" t="str">
            <v>MERIDIANA MOTOR</v>
          </cell>
          <cell r="D83" t="str">
            <v>BARCELONA</v>
          </cell>
          <cell r="E83" t="str">
            <v>FA</v>
          </cell>
          <cell r="F83" t="str">
            <v>NO</v>
          </cell>
          <cell r="G83">
            <v>116.53624704001538</v>
          </cell>
          <cell r="H83">
            <v>844.15756133328523</v>
          </cell>
          <cell r="I83">
            <v>3408.8565143701994</v>
          </cell>
          <cell r="J83">
            <v>754.45650475400578</v>
          </cell>
          <cell r="K83">
            <v>676.61942711526217</v>
          </cell>
          <cell r="L83">
            <v>3428.9603692618371</v>
          </cell>
          <cell r="M83">
            <v>110.68839926436118</v>
          </cell>
          <cell r="N83">
            <v>72.121452526053872</v>
          </cell>
          <cell r="O83">
            <v>835.6171793299917</v>
          </cell>
          <cell r="P83">
            <v>0</v>
          </cell>
          <cell r="Q83">
            <v>0</v>
          </cell>
          <cell r="R83">
            <v>15775.191422355247</v>
          </cell>
          <cell r="S83">
            <v>135.02938949190437</v>
          </cell>
          <cell r="T83">
            <v>50.707391246859714</v>
          </cell>
          <cell r="U83" t="str">
            <v>B</v>
          </cell>
          <cell r="V83">
            <v>0</v>
          </cell>
          <cell r="W83">
            <v>1</v>
          </cell>
          <cell r="X83">
            <v>0</v>
          </cell>
          <cell r="Y83">
            <v>0</v>
          </cell>
          <cell r="Z83">
            <v>893</v>
          </cell>
          <cell r="AA83">
            <v>0</v>
          </cell>
          <cell r="AB83">
            <v>835.6171793299917</v>
          </cell>
          <cell r="AC83">
            <v>1</v>
          </cell>
          <cell r="AD83">
            <v>263.97052636640103</v>
          </cell>
          <cell r="AE83">
            <v>824.05370644164714</v>
          </cell>
          <cell r="AF83">
            <v>32.033170205162264</v>
          </cell>
          <cell r="AG83">
            <v>32.033170205162264</v>
          </cell>
          <cell r="AI83">
            <v>8.5596038663944395E-3</v>
          </cell>
          <cell r="AJ83">
            <v>50.707391246859714</v>
          </cell>
          <cell r="AK83">
            <v>135.02938949190437</v>
          </cell>
          <cell r="AL83">
            <v>37.552855298882811</v>
          </cell>
          <cell r="AM83">
            <v>1</v>
          </cell>
          <cell r="AN83">
            <v>32.033170205162264</v>
          </cell>
          <cell r="AO83">
            <v>0.85596038663944396</v>
          </cell>
          <cell r="AP83">
            <v>37.552855298882811</v>
          </cell>
          <cell r="AQ83">
            <v>25</v>
          </cell>
          <cell r="AR83">
            <v>11.016585102581132</v>
          </cell>
          <cell r="AS83">
            <v>0</v>
          </cell>
          <cell r="AT83">
            <v>8.7764276494414055</v>
          </cell>
          <cell r="AU83">
            <v>44.793012752022534</v>
          </cell>
        </row>
        <row r="84">
          <cell r="C84" t="str">
            <v>MINICAR PONS</v>
          </cell>
          <cell r="D84" t="str">
            <v>REUS</v>
          </cell>
          <cell r="E84" t="str">
            <v>FL</v>
          </cell>
          <cell r="F84" t="str">
            <v>NO</v>
          </cell>
          <cell r="G84">
            <v>136.61606144747756</v>
          </cell>
          <cell r="H84">
            <v>633.53887947303258</v>
          </cell>
          <cell r="I84">
            <v>2876.7985287223687</v>
          </cell>
          <cell r="J84">
            <v>301.59989422186965</v>
          </cell>
          <cell r="K84">
            <v>359.99423028379795</v>
          </cell>
          <cell r="L84">
            <v>3173.5422451408172</v>
          </cell>
          <cell r="M84">
            <v>0</v>
          </cell>
          <cell r="N84">
            <v>0</v>
          </cell>
          <cell r="O84">
            <v>415.01688844013319</v>
          </cell>
          <cell r="P84">
            <v>5.1159076974727213E-13</v>
          </cell>
          <cell r="Q84" t="str">
            <v>Error</v>
          </cell>
          <cell r="R84">
            <v>10812.466193069129</v>
          </cell>
          <cell r="S84">
            <v>52.053658360679385</v>
          </cell>
          <cell r="T84">
            <v>4.4895604197468542</v>
          </cell>
          <cell r="U84" t="str">
            <v>B</v>
          </cell>
          <cell r="V84">
            <v>0</v>
          </cell>
          <cell r="W84">
            <v>1</v>
          </cell>
          <cell r="X84">
            <v>0</v>
          </cell>
          <cell r="Y84">
            <v>0</v>
          </cell>
          <cell r="Z84">
            <v>617</v>
          </cell>
          <cell r="AA84">
            <v>223.37816883632038</v>
          </cell>
          <cell r="AB84">
            <v>415.01688844013319</v>
          </cell>
          <cell r="AC84">
            <v>0.53823874415304196</v>
          </cell>
          <cell r="AD84">
            <v>113.41699421826354</v>
          </cell>
          <cell r="AE84">
            <v>336.79516305458401</v>
          </cell>
          <cell r="AF84">
            <v>33.675363146436332</v>
          </cell>
          <cell r="AG84">
            <v>33.675363146436332</v>
          </cell>
          <cell r="AI84">
            <v>4.8142262302790983E-3</v>
          </cell>
          <cell r="AJ84">
            <v>4.4895604197468542</v>
          </cell>
          <cell r="AK84">
            <v>52.053658360679385</v>
          </cell>
          <cell r="AL84">
            <v>8.6248701073779017</v>
          </cell>
          <cell r="AM84">
            <v>0.53823874415304196</v>
          </cell>
          <cell r="AN84">
            <v>33.675363146436332</v>
          </cell>
          <cell r="AO84">
            <v>0.48142262302790984</v>
          </cell>
          <cell r="AP84">
            <v>8.6248701073779017</v>
          </cell>
          <cell r="AQ84">
            <v>25</v>
          </cell>
          <cell r="AR84">
            <v>11.837681573218166</v>
          </cell>
          <cell r="AS84">
            <v>0</v>
          </cell>
          <cell r="AT84">
            <v>0</v>
          </cell>
          <cell r="AU84">
            <v>36.837681573218163</v>
          </cell>
        </row>
        <row r="85">
          <cell r="C85" t="str">
            <v>MOTOR 23</v>
          </cell>
          <cell r="D85" t="str">
            <v>TARRAGONA</v>
          </cell>
          <cell r="E85" t="str">
            <v>FA</v>
          </cell>
          <cell r="F85" t="str">
            <v>NO</v>
          </cell>
          <cell r="G85">
            <v>102.51463464474175</v>
          </cell>
          <cell r="H85">
            <v>769.38564542689892</v>
          </cell>
          <cell r="I85">
            <v>3018.4871323308453</v>
          </cell>
          <cell r="J85">
            <v>347.15661173416032</v>
          </cell>
          <cell r="K85">
            <v>139.20642361737166</v>
          </cell>
          <cell r="L85">
            <v>3292.4464798721046</v>
          </cell>
          <cell r="M85">
            <v>0</v>
          </cell>
          <cell r="N85">
            <v>0</v>
          </cell>
          <cell r="O85">
            <v>805.89112064716983</v>
          </cell>
          <cell r="P85">
            <v>0</v>
          </cell>
          <cell r="Q85">
            <v>0</v>
          </cell>
          <cell r="R85">
            <v>12199.295613813663</v>
          </cell>
          <cell r="S85">
            <v>91.492072650343175</v>
          </cell>
          <cell r="T85">
            <v>39.366292837137742</v>
          </cell>
          <cell r="U85" t="str">
            <v>B</v>
          </cell>
          <cell r="V85">
            <v>0</v>
          </cell>
          <cell r="W85">
            <v>1</v>
          </cell>
          <cell r="X85">
            <v>0</v>
          </cell>
          <cell r="Y85">
            <v>0</v>
          </cell>
          <cell r="Z85">
            <v>740</v>
          </cell>
          <cell r="AA85">
            <v>36.691788972629908</v>
          </cell>
          <cell r="AB85">
            <v>805.89112064716983</v>
          </cell>
          <cell r="AC85">
            <v>4.552946177538799E-2</v>
          </cell>
          <cell r="AD85">
            <v>458.73450891300951</v>
          </cell>
          <cell r="AE85">
            <v>495.42629788563954</v>
          </cell>
          <cell r="AF85">
            <v>92.59389557453413</v>
          </cell>
          <cell r="AG85">
            <v>92.59389557453413</v>
          </cell>
          <cell r="AI85">
            <v>7.4997832290205095E-3</v>
          </cell>
          <cell r="AJ85">
            <v>39.366292837137742</v>
          </cell>
          <cell r="AK85">
            <v>91.492072650343175</v>
          </cell>
          <cell r="AL85">
            <v>43.026998620508444</v>
          </cell>
          <cell r="AM85">
            <v>4.552946177538799E-2</v>
          </cell>
          <cell r="AN85">
            <v>92.59389557453413</v>
          </cell>
          <cell r="AO85">
            <v>0.74997832290205091</v>
          </cell>
          <cell r="AP85">
            <v>43.026998620508444</v>
          </cell>
          <cell r="AQ85">
            <v>25</v>
          </cell>
          <cell r="AR85">
            <v>20</v>
          </cell>
          <cell r="AS85">
            <v>0</v>
          </cell>
          <cell r="AT85">
            <v>11.513499310254222</v>
          </cell>
          <cell r="AU85">
            <v>56.513499310254218</v>
          </cell>
        </row>
        <row r="86">
          <cell r="C86" t="str">
            <v>MOTOR CARMA</v>
          </cell>
          <cell r="D86" t="str">
            <v>DENIA</v>
          </cell>
          <cell r="E86" t="str">
            <v>FL</v>
          </cell>
          <cell r="F86" t="str">
            <v>NO</v>
          </cell>
          <cell r="G86">
            <v>174.22739893981466</v>
          </cell>
          <cell r="H86">
            <v>278.23855372447201</v>
          </cell>
          <cell r="I86">
            <v>1963.1880086064934</v>
          </cell>
          <cell r="J86">
            <v>837.9731467791762</v>
          </cell>
          <cell r="K86">
            <v>126.89769571959179</v>
          </cell>
          <cell r="L86">
            <v>2251.5115454425254</v>
          </cell>
          <cell r="M86">
            <v>227.60929405118219</v>
          </cell>
          <cell r="N86">
            <v>0</v>
          </cell>
          <cell r="O86">
            <v>647.608572836657</v>
          </cell>
          <cell r="P86">
            <v>0</v>
          </cell>
          <cell r="Q86">
            <v>0</v>
          </cell>
          <cell r="R86">
            <v>7787.5482312213771</v>
          </cell>
          <cell r="S86">
            <v>86.936400899114105</v>
          </cell>
          <cell r="T86">
            <v>39.294171384611687</v>
          </cell>
          <cell r="U86" t="str">
            <v>B</v>
          </cell>
          <cell r="V86">
            <v>0</v>
          </cell>
          <cell r="W86">
            <v>1</v>
          </cell>
          <cell r="X86">
            <v>0</v>
          </cell>
          <cell r="Y86">
            <v>0</v>
          </cell>
          <cell r="Z86">
            <v>462</v>
          </cell>
          <cell r="AA86">
            <v>180.27959083095934</v>
          </cell>
          <cell r="AB86">
            <v>647.608572836657</v>
          </cell>
          <cell r="AC86">
            <v>0.27837740016519258</v>
          </cell>
          <cell r="AD86">
            <v>37.244720108662932</v>
          </cell>
          <cell r="AE86">
            <v>-10.084983111559723</v>
          </cell>
          <cell r="AF86" t="str">
            <v>to check</v>
          </cell>
          <cell r="AG86">
            <v>25</v>
          </cell>
          <cell r="AH86">
            <v>25</v>
          </cell>
          <cell r="AI86">
            <v>1.1163513639706761E-2</v>
          </cell>
          <cell r="AJ86">
            <v>39.294171384611687</v>
          </cell>
          <cell r="AK86">
            <v>86.936400899114105</v>
          </cell>
          <cell r="AL86">
            <v>45.198755617006569</v>
          </cell>
          <cell r="AM86">
            <v>0.27837740016519258</v>
          </cell>
          <cell r="AN86">
            <v>25</v>
          </cell>
          <cell r="AO86">
            <v>1.1163513639706761</v>
          </cell>
          <cell r="AP86">
            <v>45.198755617006569</v>
          </cell>
          <cell r="AQ86">
            <v>25</v>
          </cell>
          <cell r="AR86">
            <v>7.5</v>
          </cell>
          <cell r="AS86">
            <v>0.77567575980450765</v>
          </cell>
          <cell r="AT86">
            <v>12.599377808503284</v>
          </cell>
          <cell r="AU86">
            <v>45.875053568307791</v>
          </cell>
        </row>
        <row r="87">
          <cell r="C87" t="str">
            <v>MOTOR CARTAGENA</v>
          </cell>
          <cell r="D87" t="str">
            <v>CARTAGENA</v>
          </cell>
          <cell r="E87" t="str">
            <v>FL</v>
          </cell>
          <cell r="F87" t="str">
            <v>NO</v>
          </cell>
          <cell r="G87">
            <v>431.46658973711732</v>
          </cell>
          <cell r="H87">
            <v>852.16905268472112</v>
          </cell>
          <cell r="I87">
            <v>1891.1807483802725</v>
          </cell>
          <cell r="J87">
            <v>138.34096618705902</v>
          </cell>
          <cell r="K87">
            <v>423.30484535958556</v>
          </cell>
          <cell r="L87">
            <v>2092.4296515331821</v>
          </cell>
          <cell r="M87">
            <v>0</v>
          </cell>
          <cell r="N87">
            <v>94.058394336061937</v>
          </cell>
          <cell r="O87">
            <v>703.36446576034041</v>
          </cell>
          <cell r="P87">
            <v>0</v>
          </cell>
          <cell r="Q87">
            <v>0</v>
          </cell>
          <cell r="R87">
            <v>10613.831692570289</v>
          </cell>
          <cell r="S87">
            <v>170.45905304532835</v>
          </cell>
          <cell r="T87">
            <v>151.36489848905558</v>
          </cell>
          <cell r="U87" t="str">
            <v>A</v>
          </cell>
          <cell r="V87">
            <v>1</v>
          </cell>
          <cell r="W87">
            <v>0</v>
          </cell>
          <cell r="X87">
            <v>0</v>
          </cell>
          <cell r="Y87">
            <v>0</v>
          </cell>
          <cell r="Z87">
            <v>509</v>
          </cell>
          <cell r="AA87">
            <v>-8.1617443775317611</v>
          </cell>
          <cell r="AB87">
            <v>703.36446576034041</v>
          </cell>
          <cell r="AC87">
            <v>0</v>
          </cell>
          <cell r="AD87">
            <v>659.08189390934331</v>
          </cell>
          <cell r="AE87">
            <v>650.9201495318116</v>
          </cell>
          <cell r="AF87">
            <v>101.25387797311272</v>
          </cell>
          <cell r="AG87">
            <v>101.25387797311272</v>
          </cell>
          <cell r="AI87">
            <v>1.6060086308382876E-2</v>
          </cell>
          <cell r="AJ87">
            <v>151.36489848905558</v>
          </cell>
          <cell r="AK87">
            <v>170.45905304532835</v>
          </cell>
          <cell r="AL87">
            <v>88.798392214935475</v>
          </cell>
          <cell r="AM87">
            <v>0</v>
          </cell>
          <cell r="AN87">
            <v>101.25387797311272</v>
          </cell>
          <cell r="AO87">
            <v>1.6060086308382875</v>
          </cell>
          <cell r="AP87">
            <v>88.798392214935475</v>
          </cell>
          <cell r="AQ87">
            <v>25</v>
          </cell>
          <cell r="AR87">
            <v>20</v>
          </cell>
          <cell r="AS87">
            <v>4.0400575389219169</v>
          </cell>
          <cell r="AT87">
            <v>15</v>
          </cell>
          <cell r="AU87">
            <v>64.040057538921914</v>
          </cell>
        </row>
        <row r="88">
          <cell r="C88" t="str">
            <v>MOTOR CAN</v>
          </cell>
          <cell r="D88" t="str">
            <v>CEUTA</v>
          </cell>
          <cell r="E88" t="str">
            <v>FL</v>
          </cell>
          <cell r="F88" t="str">
            <v>NO</v>
          </cell>
          <cell r="G88">
            <v>19.941581623453896</v>
          </cell>
          <cell r="H88">
            <v>0</v>
          </cell>
          <cell r="I88">
            <v>380.20626735422451</v>
          </cell>
          <cell r="J88">
            <v>677.14230764607601</v>
          </cell>
          <cell r="K88">
            <v>0</v>
          </cell>
          <cell r="L88">
            <v>149.20125491327397</v>
          </cell>
          <cell r="M88">
            <v>0</v>
          </cell>
          <cell r="N88">
            <v>0</v>
          </cell>
          <cell r="O88">
            <v>928.08890171048051</v>
          </cell>
          <cell r="P88">
            <v>0</v>
          </cell>
          <cell r="Q88">
            <v>0</v>
          </cell>
          <cell r="R88">
            <v>612.6537088456962</v>
          </cell>
          <cell r="S88">
            <v>5.5653720865938245</v>
          </cell>
          <cell r="T88">
            <v>3.5099106896012886</v>
          </cell>
          <cell r="U88" t="str">
            <v>B</v>
          </cell>
          <cell r="V88">
            <v>0</v>
          </cell>
          <cell r="W88">
            <v>1</v>
          </cell>
          <cell r="X88">
            <v>0</v>
          </cell>
          <cell r="Y88">
            <v>0</v>
          </cell>
          <cell r="Z88">
            <v>55</v>
          </cell>
          <cell r="AA88">
            <v>-19.941581623453896</v>
          </cell>
          <cell r="AB88">
            <v>928.08890171048051</v>
          </cell>
          <cell r="AC88">
            <v>0</v>
          </cell>
          <cell r="AD88">
            <v>250.94659406440451</v>
          </cell>
          <cell r="AE88">
            <v>231.00501244095054</v>
          </cell>
          <cell r="AF88">
            <v>108.63253200124888</v>
          </cell>
          <cell r="AG88">
            <v>108.63253200124888</v>
          </cell>
          <cell r="AI88">
            <v>9.084042104437055E-3</v>
          </cell>
          <cell r="AJ88">
            <v>3.5099106896012886</v>
          </cell>
          <cell r="AK88">
            <v>5.5653720865938245</v>
          </cell>
          <cell r="AL88">
            <v>63.066954643628506</v>
          </cell>
          <cell r="AM88">
            <v>0</v>
          </cell>
          <cell r="AN88">
            <v>108.63253200124888</v>
          </cell>
          <cell r="AO88">
            <v>0.90840421044370545</v>
          </cell>
          <cell r="AP88">
            <v>63.066954643628506</v>
          </cell>
          <cell r="AQ88">
            <v>25</v>
          </cell>
          <cell r="AR88">
            <v>20</v>
          </cell>
          <cell r="AS88">
            <v>0</v>
          </cell>
          <cell r="AT88">
            <v>15</v>
          </cell>
          <cell r="AU88">
            <v>60</v>
          </cell>
        </row>
        <row r="89">
          <cell r="C89" t="str">
            <v>MOTOR DOS</v>
          </cell>
          <cell r="D89" t="str">
            <v>GRANADA</v>
          </cell>
          <cell r="E89" t="str">
            <v>FLA</v>
          </cell>
          <cell r="F89" t="str">
            <v>NO</v>
          </cell>
          <cell r="G89">
            <v>825.91684396523749</v>
          </cell>
          <cell r="H89">
            <v>1525.6451864940561</v>
          </cell>
          <cell r="I89">
            <v>4081.4311300229588</v>
          </cell>
          <cell r="J89">
            <v>235.97538254420445</v>
          </cell>
          <cell r="K89">
            <v>740.15241666967177</v>
          </cell>
          <cell r="L89">
            <v>5139.380717127643</v>
          </cell>
          <cell r="M89">
            <v>8.5944730926880872</v>
          </cell>
          <cell r="N89">
            <v>13.180195449136345</v>
          </cell>
          <cell r="O89">
            <v>767.66074068731746</v>
          </cell>
          <cell r="P89">
            <v>0</v>
          </cell>
          <cell r="Q89">
            <v>0</v>
          </cell>
          <cell r="R89">
            <v>13770.894185808902</v>
          </cell>
          <cell r="S89">
            <v>176.37301215246475</v>
          </cell>
          <cell r="T89">
            <v>32.033945163655595</v>
          </cell>
          <cell r="U89" t="str">
            <v>B</v>
          </cell>
          <cell r="V89">
            <v>0</v>
          </cell>
          <cell r="W89">
            <v>1</v>
          </cell>
          <cell r="X89">
            <v>0</v>
          </cell>
          <cell r="Y89">
            <v>0</v>
          </cell>
          <cell r="Z89">
            <v>865</v>
          </cell>
          <cell r="AA89">
            <v>-77.169954202877648</v>
          </cell>
          <cell r="AB89">
            <v>767.66074068731746</v>
          </cell>
          <cell r="AC89">
            <v>0</v>
          </cell>
          <cell r="AD89">
            <v>553.46002668493747</v>
          </cell>
          <cell r="AE89">
            <v>467.69559938937164</v>
          </cell>
          <cell r="AF89">
            <v>118.33765966742915</v>
          </cell>
          <cell r="AG89">
            <v>118.33765966742915</v>
          </cell>
          <cell r="AI89">
            <v>1.2807665920069272E-2</v>
          </cell>
          <cell r="AJ89">
            <v>32.033945163655595</v>
          </cell>
          <cell r="AK89">
            <v>176.37301215246475</v>
          </cell>
          <cell r="AL89">
            <v>18.162611599536564</v>
          </cell>
          <cell r="AM89">
            <v>0</v>
          </cell>
          <cell r="AN89">
            <v>118.33765966742915</v>
          </cell>
          <cell r="AO89">
            <v>1.2807665920069271</v>
          </cell>
          <cell r="AP89">
            <v>18.162611599536564</v>
          </cell>
          <cell r="AQ89">
            <v>25</v>
          </cell>
          <cell r="AR89">
            <v>20</v>
          </cell>
          <cell r="AS89">
            <v>1.8717772800461807</v>
          </cell>
          <cell r="AT89">
            <v>0</v>
          </cell>
          <cell r="AU89">
            <v>46.871777280046182</v>
          </cell>
        </row>
        <row r="90">
          <cell r="C90" t="str">
            <v>MOVIL AUTO PETREL</v>
          </cell>
          <cell r="D90" t="str">
            <v>ELDA</v>
          </cell>
          <cell r="E90" t="str">
            <v>FA</v>
          </cell>
          <cell r="F90" t="str">
            <v>NO</v>
          </cell>
          <cell r="G90">
            <v>423.70151334847884</v>
          </cell>
          <cell r="H90">
            <v>143.5998221004171</v>
          </cell>
          <cell r="I90">
            <v>4416.5073984590053</v>
          </cell>
          <cell r="J90">
            <v>1014.3581791737286</v>
          </cell>
          <cell r="K90">
            <v>463.60871707956198</v>
          </cell>
          <cell r="L90">
            <v>4108.6088973831938</v>
          </cell>
          <cell r="M90">
            <v>655.53592249347901</v>
          </cell>
          <cell r="N90">
            <v>0</v>
          </cell>
          <cell r="O90">
            <v>770.41337612539519</v>
          </cell>
          <cell r="P90">
            <v>0</v>
          </cell>
          <cell r="Q90">
            <v>0</v>
          </cell>
          <cell r="R90">
            <v>8316.967773730963</v>
          </cell>
          <cell r="S90">
            <v>131.86806582284567</v>
          </cell>
          <cell r="T90">
            <v>43.188729821018597</v>
          </cell>
          <cell r="U90" t="str">
            <v>B</v>
          </cell>
          <cell r="V90">
            <v>0</v>
          </cell>
          <cell r="W90">
            <v>1</v>
          </cell>
          <cell r="X90">
            <v>0</v>
          </cell>
          <cell r="Y90">
            <v>0</v>
          </cell>
          <cell r="Z90">
            <v>532</v>
          </cell>
          <cell r="AA90">
            <v>695.44312622456209</v>
          </cell>
          <cell r="AB90">
            <v>770.41337612539519</v>
          </cell>
          <cell r="AC90">
            <v>0.90268828109153876</v>
          </cell>
          <cell r="AD90">
            <v>411.59111944514575</v>
          </cell>
          <cell r="AE90">
            <v>451.49832317622895</v>
          </cell>
          <cell r="AF90">
            <v>91.161162360395608</v>
          </cell>
          <cell r="AG90">
            <v>91.161162360395608</v>
          </cell>
          <cell r="AI90">
            <v>1.5855305612623542E-2</v>
          </cell>
          <cell r="AJ90">
            <v>43.188729821018597</v>
          </cell>
          <cell r="AK90">
            <v>131.86806582284567</v>
          </cell>
          <cell r="AL90">
            <v>32.751469850963957</v>
          </cell>
          <cell r="AM90">
            <v>0.90268828109153876</v>
          </cell>
          <cell r="AN90">
            <v>91.161162360395608</v>
          </cell>
          <cell r="AO90">
            <v>1.5855305612623543</v>
          </cell>
          <cell r="AP90">
            <v>32.751469850963957</v>
          </cell>
          <cell r="AQ90">
            <v>25</v>
          </cell>
          <cell r="AR90">
            <v>20</v>
          </cell>
          <cell r="AS90">
            <v>3.9035370750823617</v>
          </cell>
          <cell r="AT90">
            <v>6.3757349254819786</v>
          </cell>
          <cell r="AU90">
            <v>55.27927200056434</v>
          </cell>
        </row>
        <row r="91">
          <cell r="C91" t="str">
            <v>MULTIPOINT M - 3</v>
          </cell>
          <cell r="D91" t="str">
            <v>LEGANES</v>
          </cell>
          <cell r="E91" t="str">
            <v>FA</v>
          </cell>
          <cell r="F91" t="str">
            <v>NO</v>
          </cell>
          <cell r="G91">
            <v>441.97829144278967</v>
          </cell>
          <cell r="H91">
            <v>1489.8428954359142</v>
          </cell>
          <cell r="I91">
            <v>4999.2367146274328</v>
          </cell>
          <cell r="J91">
            <v>1191.9151851718293</v>
          </cell>
          <cell r="K91">
            <v>354.87360715444811</v>
          </cell>
          <cell r="L91">
            <v>6008.6305338189513</v>
          </cell>
          <cell r="M91">
            <v>141.98910966066856</v>
          </cell>
          <cell r="N91">
            <v>168.42162201146732</v>
          </cell>
          <cell r="O91">
            <v>1449.0582140324307</v>
          </cell>
          <cell r="P91">
            <v>0</v>
          </cell>
          <cell r="Q91">
            <v>0</v>
          </cell>
          <cell r="R91">
            <v>29480.737562054499</v>
          </cell>
          <cell r="S91">
            <v>402.61199860565193</v>
          </cell>
          <cell r="T91">
            <v>273.88121596768957</v>
          </cell>
          <cell r="U91" t="str">
            <v>A</v>
          </cell>
          <cell r="V91">
            <v>1</v>
          </cell>
          <cell r="W91">
            <v>0</v>
          </cell>
          <cell r="X91">
            <v>0</v>
          </cell>
          <cell r="Y91">
            <v>0</v>
          </cell>
          <cell r="Z91">
            <v>1491</v>
          </cell>
          <cell r="AA91">
            <v>54.884425372326973</v>
          </cell>
          <cell r="AB91">
            <v>1449.0582140324307</v>
          </cell>
          <cell r="AC91">
            <v>3.7875928545061638E-2</v>
          </cell>
          <cell r="AD91">
            <v>567.55376053273721</v>
          </cell>
          <cell r="AE91">
            <v>480.44907624439566</v>
          </cell>
          <cell r="AF91">
            <v>118.12984738553915</v>
          </cell>
          <cell r="AG91">
            <v>118.12984738553915</v>
          </cell>
          <cell r="AI91">
            <v>1.3656781746324603E-2</v>
          </cell>
          <cell r="AJ91">
            <v>273.88121596768957</v>
          </cell>
          <cell r="AK91">
            <v>402.61199860565193</v>
          </cell>
          <cell r="AL91">
            <v>68.02609383630147</v>
          </cell>
          <cell r="AM91">
            <v>3.7875928545061638E-2</v>
          </cell>
          <cell r="AN91">
            <v>118.12984738553915</v>
          </cell>
          <cell r="AO91">
            <v>1.3656781746324602</v>
          </cell>
          <cell r="AP91">
            <v>68.02609383630147</v>
          </cell>
          <cell r="AQ91">
            <v>25</v>
          </cell>
          <cell r="AR91">
            <v>20</v>
          </cell>
          <cell r="AS91">
            <v>2.4378544975497349</v>
          </cell>
          <cell r="AT91">
            <v>15</v>
          </cell>
          <cell r="AU91">
            <v>62.437854497549736</v>
          </cell>
        </row>
        <row r="92">
          <cell r="C92" t="str">
            <v>MUTRASA</v>
          </cell>
          <cell r="D92" t="str">
            <v>MURCIA</v>
          </cell>
          <cell r="E92" t="str">
            <v>FLA</v>
          </cell>
          <cell r="F92" t="str">
            <v>NO</v>
          </cell>
          <cell r="G92">
            <v>43.705600230788647</v>
          </cell>
          <cell r="H92">
            <v>1027.9771134590651</v>
          </cell>
          <cell r="I92">
            <v>5008.5644224874686</v>
          </cell>
          <cell r="J92">
            <v>801.28736792759003</v>
          </cell>
          <cell r="K92">
            <v>955.54313463873166</v>
          </cell>
          <cell r="L92">
            <v>4849.7229334198792</v>
          </cell>
          <cell r="M92">
            <v>0</v>
          </cell>
          <cell r="N92">
            <v>22.477852703953459</v>
          </cell>
          <cell r="O92">
            <v>1053.7905833423486</v>
          </cell>
          <cell r="P92">
            <v>0</v>
          </cell>
          <cell r="Q92">
            <v>0</v>
          </cell>
          <cell r="R92">
            <v>18214.248794970732</v>
          </cell>
          <cell r="S92">
            <v>103.4281730434051</v>
          </cell>
          <cell r="T92">
            <v>5.6435036601637156</v>
          </cell>
          <cell r="U92" t="str">
            <v>B</v>
          </cell>
          <cell r="V92">
            <v>0</v>
          </cell>
          <cell r="W92">
            <v>1</v>
          </cell>
          <cell r="X92">
            <v>0</v>
          </cell>
          <cell r="Y92">
            <v>0</v>
          </cell>
          <cell r="Z92">
            <v>836</v>
          </cell>
          <cell r="AA92">
            <v>911.83753440794305</v>
          </cell>
          <cell r="AB92">
            <v>1053.7905833423486</v>
          </cell>
          <cell r="AC92">
            <v>0.86529292330154683</v>
          </cell>
          <cell r="AD92">
            <v>274.98106811871196</v>
          </cell>
          <cell r="AE92">
            <v>1186.8186025266541</v>
          </cell>
          <cell r="AF92">
            <v>23.169595381576968</v>
          </cell>
          <cell r="AG92">
            <v>23.169595381576968</v>
          </cell>
          <cell r="AI92">
            <v>5.6784210102567281E-3</v>
          </cell>
          <cell r="AJ92">
            <v>5.6435036601637156</v>
          </cell>
          <cell r="AK92">
            <v>103.4281730434051</v>
          </cell>
          <cell r="AL92">
            <v>5.4564472078563542</v>
          </cell>
          <cell r="AM92">
            <v>0.86529292330154683</v>
          </cell>
          <cell r="AN92">
            <v>23.169595381576968</v>
          </cell>
          <cell r="AO92">
            <v>0.56784210102567279</v>
          </cell>
          <cell r="AP92">
            <v>5.4564472078563542</v>
          </cell>
          <cell r="AQ92">
            <v>25</v>
          </cell>
          <cell r="AR92">
            <v>6.5847976907884842</v>
          </cell>
          <cell r="AS92">
            <v>0</v>
          </cell>
          <cell r="AT92">
            <v>0</v>
          </cell>
          <cell r="AU92">
            <v>31.584797690788484</v>
          </cell>
        </row>
        <row r="93">
          <cell r="C93" t="str">
            <v>PIQUER TURISMOS</v>
          </cell>
          <cell r="D93" t="str">
            <v>ALMERIA</v>
          </cell>
          <cell r="E93" t="str">
            <v>FL</v>
          </cell>
          <cell r="F93" t="str">
            <v>NO</v>
          </cell>
          <cell r="G93">
            <v>572.89074801966512</v>
          </cell>
          <cell r="H93">
            <v>165.32640967389085</v>
          </cell>
          <cell r="I93">
            <v>2079.8444580673854</v>
          </cell>
          <cell r="J93">
            <v>1114.1141682593488</v>
          </cell>
          <cell r="K93">
            <v>298.0058418376546</v>
          </cell>
          <cell r="L93">
            <v>2580.9142596131887</v>
          </cell>
          <cell r="M93">
            <v>465.73028980803673</v>
          </cell>
          <cell r="N93">
            <v>0</v>
          </cell>
          <cell r="O93">
            <v>587.52539276141022</v>
          </cell>
          <cell r="P93">
            <v>0</v>
          </cell>
          <cell r="Q93">
            <v>0</v>
          </cell>
          <cell r="R93">
            <v>9264.8480040388022</v>
          </cell>
          <cell r="S93">
            <v>264.87204452297669</v>
          </cell>
          <cell r="T93">
            <v>181.24722031901723</v>
          </cell>
          <cell r="U93" t="str">
            <v>B</v>
          </cell>
          <cell r="V93">
            <v>0</v>
          </cell>
          <cell r="W93">
            <v>1</v>
          </cell>
          <cell r="X93">
            <v>0</v>
          </cell>
          <cell r="Y93">
            <v>0</v>
          </cell>
          <cell r="Z93">
            <v>542</v>
          </cell>
          <cell r="AA93">
            <v>190.84538362602621</v>
          </cell>
          <cell r="AB93">
            <v>587.52539276141022</v>
          </cell>
          <cell r="AC93">
            <v>0.3248291664961741</v>
          </cell>
          <cell r="AD93">
            <v>-60.858485689901954</v>
          </cell>
          <cell r="AE93">
            <v>-335.74339187191254</v>
          </cell>
          <cell r="AF93">
            <v>-88</v>
          </cell>
          <cell r="AG93">
            <v>-88</v>
          </cell>
          <cell r="AI93">
            <v>2.8588924978317148E-2</v>
          </cell>
          <cell r="AJ93">
            <v>181.24722031901723</v>
          </cell>
          <cell r="AK93">
            <v>264.87204452297669</v>
          </cell>
          <cell r="AL93">
            <v>68.428218102607161</v>
          </cell>
          <cell r="AM93">
            <v>0.3248291664961741</v>
          </cell>
          <cell r="AN93">
            <v>-88</v>
          </cell>
          <cell r="AO93">
            <v>2.858892497831715</v>
          </cell>
          <cell r="AP93">
            <v>68.428218102607161</v>
          </cell>
          <cell r="AQ93">
            <v>25</v>
          </cell>
          <cell r="AR93">
            <v>0</v>
          </cell>
          <cell r="AS93">
            <v>12.392616652211432</v>
          </cell>
          <cell r="AT93">
            <v>15</v>
          </cell>
          <cell r="AU93">
            <v>52.39261665221143</v>
          </cell>
        </row>
        <row r="94">
          <cell r="C94" t="str">
            <v>RAMARGO</v>
          </cell>
          <cell r="D94" t="str">
            <v>MADRID</v>
          </cell>
          <cell r="E94" t="str">
            <v>FLA</v>
          </cell>
          <cell r="F94" t="str">
            <v>NO</v>
          </cell>
          <cell r="G94">
            <v>1003.5339511737767</v>
          </cell>
          <cell r="H94">
            <v>828.72357049270977</v>
          </cell>
          <cell r="I94">
            <v>4583.3663889990748</v>
          </cell>
          <cell r="J94">
            <v>1528.0131741853281</v>
          </cell>
          <cell r="K94">
            <v>100.33296070582861</v>
          </cell>
          <cell r="L94">
            <v>5861.1962544925655</v>
          </cell>
          <cell r="M94">
            <v>679.143677953674</v>
          </cell>
          <cell r="N94">
            <v>0</v>
          </cell>
          <cell r="O94">
            <v>1302.9641916988207</v>
          </cell>
          <cell r="P94">
            <v>0</v>
          </cell>
          <cell r="Q94">
            <v>0</v>
          </cell>
          <cell r="R94">
            <v>21042.058827064779</v>
          </cell>
          <cell r="S94">
            <v>199.52399841332806</v>
          </cell>
          <cell r="T94">
            <v>199.52399841332806</v>
          </cell>
          <cell r="U94" t="str">
            <v>B</v>
          </cell>
          <cell r="V94">
            <v>0</v>
          </cell>
          <cell r="W94">
            <v>1</v>
          </cell>
          <cell r="X94">
            <v>0</v>
          </cell>
          <cell r="Y94">
            <v>0</v>
          </cell>
          <cell r="Z94">
            <v>1161</v>
          </cell>
          <cell r="AA94">
            <v>-224.05731251427403</v>
          </cell>
          <cell r="AB94">
            <v>1302.9641916988207</v>
          </cell>
          <cell r="AC94">
            <v>0</v>
          </cell>
          <cell r="AD94">
            <v>454.0946954671665</v>
          </cell>
          <cell r="AE94">
            <v>-449.10629500078085</v>
          </cell>
          <cell r="AF94" t="str">
            <v>to check</v>
          </cell>
          <cell r="AG94">
            <v>35</v>
          </cell>
          <cell r="AH94">
            <v>35</v>
          </cell>
          <cell r="AI94">
            <v>9.4821519155100786E-3</v>
          </cell>
          <cell r="AJ94">
            <v>199.52399841332806</v>
          </cell>
          <cell r="AK94">
            <v>199.52399841332806</v>
          </cell>
          <cell r="AL94">
            <v>100</v>
          </cell>
          <cell r="AM94">
            <v>0</v>
          </cell>
          <cell r="AN94">
            <v>35</v>
          </cell>
          <cell r="AO94">
            <v>0.94821519155100786</v>
          </cell>
          <cell r="AP94">
            <v>100</v>
          </cell>
          <cell r="AQ94">
            <v>25</v>
          </cell>
          <cell r="AR94">
            <v>12.5</v>
          </cell>
          <cell r="AS94">
            <v>0</v>
          </cell>
          <cell r="AT94">
            <v>15</v>
          </cell>
          <cell r="AU94">
            <v>52.5</v>
          </cell>
        </row>
        <row r="95">
          <cell r="C95" t="str">
            <v>REPARAUTO</v>
          </cell>
          <cell r="D95" t="str">
            <v>COLLADO VILLALBA</v>
          </cell>
          <cell r="E95" t="str">
            <v>FL</v>
          </cell>
          <cell r="F95" t="str">
            <v>NO</v>
          </cell>
          <cell r="G95">
            <v>58.640751024725638</v>
          </cell>
          <cell r="H95">
            <v>205.16750207349176</v>
          </cell>
          <cell r="I95">
            <v>2477.5521979012656</v>
          </cell>
          <cell r="J95">
            <v>780.73876407870853</v>
          </cell>
          <cell r="K95">
            <v>140.63082230476121</v>
          </cell>
          <cell r="L95">
            <v>2920.3418556849738</v>
          </cell>
          <cell r="M95">
            <v>32.172177947663869</v>
          </cell>
          <cell r="N95">
            <v>0</v>
          </cell>
          <cell r="O95">
            <v>428.95435914079309</v>
          </cell>
          <cell r="P95">
            <v>-7.3896444519050419E-13</v>
          </cell>
          <cell r="Q95" t="str">
            <v>Error</v>
          </cell>
          <cell r="R95">
            <v>6731.7562775714305</v>
          </cell>
          <cell r="S95">
            <v>51.38653492481339</v>
          </cell>
          <cell r="T95">
            <v>48.856273965357666</v>
          </cell>
          <cell r="U95" t="str">
            <v>B</v>
          </cell>
          <cell r="V95">
            <v>0</v>
          </cell>
          <cell r="W95">
            <v>1</v>
          </cell>
          <cell r="X95">
            <v>0</v>
          </cell>
          <cell r="Y95">
            <v>0</v>
          </cell>
          <cell r="Z95">
            <v>400</v>
          </cell>
          <cell r="AA95">
            <v>114.16224922769945</v>
          </cell>
          <cell r="AB95">
            <v>428.95435914079309</v>
          </cell>
          <cell r="AC95">
            <v>0.26614078350053244</v>
          </cell>
          <cell r="AD95">
            <v>-319.61222699025154</v>
          </cell>
          <cell r="AE95">
            <v>-237.62215571021625</v>
          </cell>
          <cell r="AF95">
            <v>-88</v>
          </cell>
          <cell r="AG95">
            <v>-88</v>
          </cell>
          <cell r="AI95">
            <v>7.6334514807110277E-3</v>
          </cell>
          <cell r="AJ95">
            <v>48.856273965357666</v>
          </cell>
          <cell r="AK95">
            <v>51.38653492481339</v>
          </cell>
          <cell r="AL95">
            <v>95.076023391812868</v>
          </cell>
          <cell r="AM95">
            <v>0.26614078350053244</v>
          </cell>
          <cell r="AN95">
            <v>-88</v>
          </cell>
          <cell r="AO95">
            <v>0.76334514807110276</v>
          </cell>
          <cell r="AP95">
            <v>95.076023391812868</v>
          </cell>
          <cell r="AQ95">
            <v>25</v>
          </cell>
          <cell r="AR95">
            <v>0</v>
          </cell>
          <cell r="AS95">
            <v>0</v>
          </cell>
          <cell r="AT95">
            <v>15</v>
          </cell>
          <cell r="AU95">
            <v>40</v>
          </cell>
        </row>
        <row r="96">
          <cell r="C96" t="str">
            <v>TECNOCAR CANARIAS</v>
          </cell>
          <cell r="D96" t="str">
            <v>LAS PALMAS</v>
          </cell>
          <cell r="E96" t="str">
            <v>F</v>
          </cell>
          <cell r="F96" t="str">
            <v>NO</v>
          </cell>
          <cell r="G96">
            <v>25.669226978231343</v>
          </cell>
          <cell r="H96">
            <v>2797.4408904595339</v>
          </cell>
          <cell r="I96">
            <v>895.1293979060739</v>
          </cell>
          <cell r="J96">
            <v>1794.6642145372809</v>
          </cell>
          <cell r="K96">
            <v>0</v>
          </cell>
          <cell r="L96">
            <v>4111.7882514153835</v>
          </cell>
          <cell r="M96">
            <v>791.39470868943306</v>
          </cell>
          <cell r="N96">
            <v>0</v>
          </cell>
          <cell r="O96">
            <v>609.72076977630331</v>
          </cell>
          <cell r="P96">
            <v>0</v>
          </cell>
          <cell r="Q96">
            <v>0</v>
          </cell>
          <cell r="R96">
            <v>4109.7928912288298</v>
          </cell>
          <cell r="S96">
            <v>-802.12878487372734</v>
          </cell>
          <cell r="T96">
            <v>-902.85841356844924</v>
          </cell>
          <cell r="U96" t="str">
            <v>C</v>
          </cell>
          <cell r="V96">
            <v>0</v>
          </cell>
          <cell r="W96">
            <v>0</v>
          </cell>
          <cell r="X96">
            <v>1</v>
          </cell>
          <cell r="Y96">
            <v>0</v>
          </cell>
          <cell r="Z96">
            <v>359</v>
          </cell>
          <cell r="AA96">
            <v>765.72548171120172</v>
          </cell>
          <cell r="AB96">
            <v>609.72076977630331</v>
          </cell>
          <cell r="AC96">
            <v>1.2558625516269259</v>
          </cell>
          <cell r="AD96">
            <v>-393.54873607154445</v>
          </cell>
          <cell r="AE96">
            <v>-419.21796304977579</v>
          </cell>
          <cell r="AF96">
            <v>-88</v>
          </cell>
          <cell r="AG96">
            <v>-88</v>
          </cell>
          <cell r="AI96">
            <v>-0.19517498961702923</v>
          </cell>
          <cell r="AJ96">
            <v>-902.85841356844924</v>
          </cell>
          <cell r="AK96">
            <v>-802.12878487372734</v>
          </cell>
          <cell r="AL96">
            <v>-9900</v>
          </cell>
          <cell r="AM96">
            <v>1.2558625516269259</v>
          </cell>
          <cell r="AN96">
            <v>-88</v>
          </cell>
          <cell r="AO96">
            <v>-19.517498961702923</v>
          </cell>
          <cell r="AP96">
            <v>-9900</v>
          </cell>
          <cell r="AQ96">
            <v>21.801718104663426</v>
          </cell>
          <cell r="AR96">
            <v>0</v>
          </cell>
          <cell r="AS96">
            <v>0</v>
          </cell>
          <cell r="AT96">
            <v>0</v>
          </cell>
          <cell r="AU96">
            <v>21.801718104663426</v>
          </cell>
        </row>
        <row r="97">
          <cell r="C97" t="str">
            <v>SIMPSON</v>
          </cell>
          <cell r="D97" t="str">
            <v>MADRID</v>
          </cell>
          <cell r="E97" t="str">
            <v>FL</v>
          </cell>
          <cell r="F97" t="str">
            <v>NO</v>
          </cell>
          <cell r="G97">
            <v>50.316733379010252</v>
          </cell>
          <cell r="H97">
            <v>1524.6895772480859</v>
          </cell>
          <cell r="I97">
            <v>3947.0508336037888</v>
          </cell>
          <cell r="J97">
            <v>1261.1157188705781</v>
          </cell>
          <cell r="K97">
            <v>610.5261259961776</v>
          </cell>
          <cell r="L97">
            <v>4790.4992006539014</v>
          </cell>
          <cell r="M97">
            <v>610.5261259961776</v>
          </cell>
          <cell r="N97">
            <v>-530.01454449292612</v>
          </cell>
          <cell r="O97">
            <v>1301.6359549481326</v>
          </cell>
          <cell r="P97">
            <v>0</v>
          </cell>
          <cell r="Q97">
            <v>0</v>
          </cell>
          <cell r="R97">
            <v>21255.898933804528</v>
          </cell>
          <cell r="S97">
            <v>1.8270767973266981</v>
          </cell>
          <cell r="T97">
            <v>-100.68154772637121</v>
          </cell>
          <cell r="U97" t="str">
            <v>C</v>
          </cell>
          <cell r="V97">
            <v>0</v>
          </cell>
          <cell r="W97">
            <v>0</v>
          </cell>
          <cell r="X97">
            <v>1</v>
          </cell>
          <cell r="Y97">
            <v>0</v>
          </cell>
          <cell r="Z97">
            <v>0</v>
          </cell>
          <cell r="AA97">
            <v>1170.735518613345</v>
          </cell>
          <cell r="AB97">
            <v>1301.6359549481326</v>
          </cell>
          <cell r="AC97">
            <v>0.89943391173455733</v>
          </cell>
          <cell r="AD97">
            <v>121.03181758080586</v>
          </cell>
          <cell r="AE97">
            <v>681.24121019797349</v>
          </cell>
          <cell r="AF97">
            <v>17.766367590362474</v>
          </cell>
          <cell r="AG97">
            <v>17.766367590362474</v>
          </cell>
          <cell r="AI97">
            <v>8.5956223400224604E-5</v>
          </cell>
          <cell r="AJ97">
            <v>-100.68154772637121</v>
          </cell>
          <cell r="AK97">
            <v>1.8270767973266981</v>
          </cell>
          <cell r="AL97">
            <v>-5510.5263157894733</v>
          </cell>
          <cell r="AM97">
            <v>0.89943391173455733</v>
          </cell>
          <cell r="AN97">
            <v>17.766367590362474</v>
          </cell>
          <cell r="AO97">
            <v>8.5956223400224605E-3</v>
          </cell>
          <cell r="AP97">
            <v>-5510.5263157894733</v>
          </cell>
          <cell r="AQ97">
            <v>25</v>
          </cell>
          <cell r="AR97">
            <v>3.8831837951812371</v>
          </cell>
          <cell r="AS97">
            <v>0</v>
          </cell>
          <cell r="AT97">
            <v>0</v>
          </cell>
          <cell r="AU97">
            <v>28.883183795181239</v>
          </cell>
        </row>
        <row r="98">
          <cell r="C98" t="str">
            <v>SIMPSON CENTRO</v>
          </cell>
          <cell r="D98" t="str">
            <v>MADRID</v>
          </cell>
          <cell r="E98" t="str">
            <v>A</v>
          </cell>
          <cell r="F98" t="str">
            <v>NO</v>
          </cell>
          <cell r="G98">
            <v>206.03896962484825</v>
          </cell>
          <cell r="H98">
            <v>277.89597682497327</v>
          </cell>
          <cell r="I98">
            <v>2835.3827846092822</v>
          </cell>
          <cell r="J98">
            <v>139.51894991165122</v>
          </cell>
          <cell r="K98">
            <v>1248.1038068106693</v>
          </cell>
          <cell r="L98">
            <v>2038.7773009748416</v>
          </cell>
          <cell r="M98">
            <v>1248.1038068106693</v>
          </cell>
          <cell r="N98">
            <v>-1247.7612299111704</v>
          </cell>
          <cell r="O98">
            <v>171.6129962857452</v>
          </cell>
          <cell r="P98">
            <v>0</v>
          </cell>
          <cell r="Q98">
            <v>0</v>
          </cell>
          <cell r="R98">
            <v>11624.848244443643</v>
          </cell>
          <cell r="S98">
            <v>-151.55121224141453</v>
          </cell>
          <cell r="T98">
            <v>-214.88586780137751</v>
          </cell>
          <cell r="U98" t="str">
            <v>D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2290.1686439964906</v>
          </cell>
          <cell r="AB98">
            <v>171.6129962857452</v>
          </cell>
          <cell r="AC98">
            <v>13.344960425859776</v>
          </cell>
          <cell r="AD98">
            <v>32.436623273592886</v>
          </cell>
          <cell r="AE98">
            <v>1074.5014604594139</v>
          </cell>
          <cell r="AF98">
            <v>3.0187602778803373</v>
          </cell>
          <cell r="AG98">
            <v>3.0187602778803373</v>
          </cell>
          <cell r="AI98">
            <v>-1.3036833604589362E-2</v>
          </cell>
          <cell r="AJ98">
            <v>-214.88586780137751</v>
          </cell>
          <cell r="AK98">
            <v>-151.55121224141453</v>
          </cell>
          <cell r="AL98">
            <v>-9900</v>
          </cell>
          <cell r="AM98">
            <v>13.344960425859776</v>
          </cell>
          <cell r="AN98">
            <v>3.0187602778803373</v>
          </cell>
          <cell r="AO98">
            <v>-1.3036833604589362</v>
          </cell>
          <cell r="AP98">
            <v>-9900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</row>
        <row r="99">
          <cell r="C99" t="str">
            <v>SETAMOVIL</v>
          </cell>
          <cell r="D99" t="str">
            <v>JATIVA</v>
          </cell>
          <cell r="E99" t="str">
            <v>FA</v>
          </cell>
          <cell r="F99" t="str">
            <v>NO</v>
          </cell>
          <cell r="G99">
            <v>370.11527412162081</v>
          </cell>
          <cell r="H99">
            <v>879.35884028704345</v>
          </cell>
          <cell r="I99">
            <v>1723.4262498046712</v>
          </cell>
          <cell r="J99">
            <v>369.77870734316588</v>
          </cell>
          <cell r="K99">
            <v>190.32851321625617</v>
          </cell>
          <cell r="L99">
            <v>2264.3191133869436</v>
          </cell>
          <cell r="M99">
            <v>76.19030447273208</v>
          </cell>
          <cell r="N99">
            <v>113.5191662760088</v>
          </cell>
          <cell r="O99">
            <v>698.32197420456055</v>
          </cell>
          <cell r="P99">
            <v>0</v>
          </cell>
          <cell r="Q99">
            <v>0</v>
          </cell>
          <cell r="R99">
            <v>7774.2778839565835</v>
          </cell>
          <cell r="S99">
            <v>116.53624704001538</v>
          </cell>
          <cell r="T99">
            <v>68.80987583089923</v>
          </cell>
          <cell r="U99" t="str">
            <v>A</v>
          </cell>
          <cell r="V99">
            <v>1</v>
          </cell>
          <cell r="W99">
            <v>0</v>
          </cell>
          <cell r="X99">
            <v>0</v>
          </cell>
          <cell r="Y99">
            <v>0</v>
          </cell>
          <cell r="Z99">
            <v>486</v>
          </cell>
          <cell r="AA99">
            <v>-103.59645643263258</v>
          </cell>
          <cell r="AB99">
            <v>698.32197420456055</v>
          </cell>
          <cell r="AC99">
            <v>0</v>
          </cell>
          <cell r="AD99">
            <v>518.25273761013545</v>
          </cell>
          <cell r="AE99">
            <v>338.46597670477104</v>
          </cell>
          <cell r="AF99">
            <v>153.11811918460108</v>
          </cell>
          <cell r="AG99">
            <v>153.11811918460108</v>
          </cell>
          <cell r="AI99">
            <v>1.4989977047322404E-2</v>
          </cell>
          <cell r="AJ99">
            <v>68.80987583089923</v>
          </cell>
          <cell r="AK99">
            <v>116.53624704001538</v>
          </cell>
          <cell r="AL99">
            <v>59.045899948427028</v>
          </cell>
          <cell r="AM99">
            <v>0</v>
          </cell>
          <cell r="AN99">
            <v>153.11811918460108</v>
          </cell>
          <cell r="AO99">
            <v>1.4989977047322405</v>
          </cell>
          <cell r="AP99">
            <v>59.045899948427028</v>
          </cell>
          <cell r="AQ99">
            <v>25</v>
          </cell>
          <cell r="AR99">
            <v>20</v>
          </cell>
          <cell r="AS99">
            <v>3.3266513648816032</v>
          </cell>
          <cell r="AT99">
            <v>15</v>
          </cell>
          <cell r="AU99">
            <v>63.326651364881606</v>
          </cell>
        </row>
        <row r="100">
          <cell r="C100" t="str">
            <v>STAZME</v>
          </cell>
          <cell r="D100" t="str">
            <v>LOGROÑO</v>
          </cell>
          <cell r="E100" t="str">
            <v>A</v>
          </cell>
          <cell r="F100" t="str">
            <v>NO</v>
          </cell>
          <cell r="G100">
            <v>7.5186614258411169</v>
          </cell>
          <cell r="H100">
            <v>89.55080355318357</v>
          </cell>
          <cell r="I100">
            <v>362.16388398062338</v>
          </cell>
          <cell r="J100">
            <v>118.93428533650668</v>
          </cell>
          <cell r="K100">
            <v>0</v>
          </cell>
          <cell r="L100">
            <v>389.92463308211029</v>
          </cell>
          <cell r="M100">
            <v>3.5039005685574507</v>
          </cell>
          <cell r="N100">
            <v>0</v>
          </cell>
          <cell r="O100">
            <v>184.73910064548701</v>
          </cell>
          <cell r="P100">
            <v>0</v>
          </cell>
          <cell r="Q100">
            <v>0</v>
          </cell>
          <cell r="R100">
            <v>1592.3455098385682</v>
          </cell>
          <cell r="S100">
            <v>26.252208719483612</v>
          </cell>
          <cell r="T100">
            <v>19.635065450218168</v>
          </cell>
          <cell r="U100" t="str">
            <v>A</v>
          </cell>
          <cell r="V100">
            <v>1</v>
          </cell>
          <cell r="W100">
            <v>0</v>
          </cell>
          <cell r="X100">
            <v>0</v>
          </cell>
          <cell r="Y100">
            <v>0</v>
          </cell>
          <cell r="Z100">
            <v>66</v>
          </cell>
          <cell r="AA100">
            <v>-4.0147608572836662</v>
          </cell>
          <cell r="AB100">
            <v>184.73910064548701</v>
          </cell>
          <cell r="AC100">
            <v>0</v>
          </cell>
          <cell r="AD100">
            <v>69.308715877537779</v>
          </cell>
          <cell r="AE100">
            <v>61.790054451696676</v>
          </cell>
          <cell r="AF100">
            <v>112.16807703530782</v>
          </cell>
          <cell r="AG100">
            <v>112.16807703530782</v>
          </cell>
          <cell r="AI100">
            <v>1.6486502808140589E-2</v>
          </cell>
          <cell r="AJ100">
            <v>19.635065450218168</v>
          </cell>
          <cell r="AK100">
            <v>26.252208719483612</v>
          </cell>
          <cell r="AL100">
            <v>74.793956043956044</v>
          </cell>
          <cell r="AM100">
            <v>0</v>
          </cell>
          <cell r="AN100">
            <v>112.16807703530782</v>
          </cell>
          <cell r="AO100">
            <v>1.6486502808140588</v>
          </cell>
          <cell r="AP100">
            <v>74.793956043956044</v>
          </cell>
          <cell r="AQ100">
            <v>25</v>
          </cell>
          <cell r="AR100">
            <v>20</v>
          </cell>
          <cell r="AS100">
            <v>4.324335205427059</v>
          </cell>
          <cell r="AT100">
            <v>15</v>
          </cell>
          <cell r="AU100">
            <v>64.324335205427062</v>
          </cell>
        </row>
        <row r="101">
          <cell r="C101" t="str">
            <v>T.BARREIRO</v>
          </cell>
          <cell r="D101" t="str">
            <v>VIGO</v>
          </cell>
          <cell r="E101" t="str">
            <v>FA</v>
          </cell>
          <cell r="F101" t="str">
            <v>NO</v>
          </cell>
          <cell r="G101">
            <v>244.65399733150628</v>
          </cell>
          <cell r="H101">
            <v>477.51012705395885</v>
          </cell>
          <cell r="I101">
            <v>1527.1116560287523</v>
          </cell>
          <cell r="J101">
            <v>1148.1134230043394</v>
          </cell>
          <cell r="K101">
            <v>344.39796617503879</v>
          </cell>
          <cell r="L101">
            <v>2210.4323681078936</v>
          </cell>
          <cell r="M101">
            <v>244.72010866298848</v>
          </cell>
          <cell r="N101">
            <v>3.7923863786616665</v>
          </cell>
          <cell r="O101">
            <v>594.04637409397424</v>
          </cell>
          <cell r="P101">
            <v>0</v>
          </cell>
          <cell r="Q101">
            <v>0</v>
          </cell>
          <cell r="R101">
            <v>6733.9740122366065</v>
          </cell>
          <cell r="S101">
            <v>230.09748416333105</v>
          </cell>
          <cell r="T101">
            <v>195.10655944610724</v>
          </cell>
          <cell r="U101" t="str">
            <v>B</v>
          </cell>
          <cell r="V101">
            <v>0</v>
          </cell>
          <cell r="W101">
            <v>1</v>
          </cell>
          <cell r="X101">
            <v>0</v>
          </cell>
          <cell r="Y101">
            <v>0</v>
          </cell>
          <cell r="Z101">
            <v>442</v>
          </cell>
          <cell r="AA101">
            <v>344.46407750652099</v>
          </cell>
          <cell r="AB101">
            <v>594.04637409397424</v>
          </cell>
          <cell r="AC101">
            <v>0.57986058417053654</v>
          </cell>
          <cell r="AD101">
            <v>-305.55455386871506</v>
          </cell>
          <cell r="AE101">
            <v>-205.81058502518226</v>
          </cell>
          <cell r="AF101">
            <v>-88</v>
          </cell>
          <cell r="AG101">
            <v>-88</v>
          </cell>
          <cell r="AI101">
            <v>3.4169642434795644E-2</v>
          </cell>
          <cell r="AJ101">
            <v>195.10655944610724</v>
          </cell>
          <cell r="AK101">
            <v>230.09748416333105</v>
          </cell>
          <cell r="AL101">
            <v>84.792999869400546</v>
          </cell>
          <cell r="AM101">
            <v>0.57986058417053654</v>
          </cell>
          <cell r="AN101">
            <v>-88</v>
          </cell>
          <cell r="AO101">
            <v>3.4169642434795646</v>
          </cell>
          <cell r="AP101">
            <v>84.792999869400546</v>
          </cell>
          <cell r="AQ101">
            <v>25</v>
          </cell>
          <cell r="AR101">
            <v>0</v>
          </cell>
          <cell r="AS101">
            <v>16.113094956530432</v>
          </cell>
          <cell r="AT101">
            <v>15</v>
          </cell>
          <cell r="AU101">
            <v>56.113094956530432</v>
          </cell>
        </row>
        <row r="102">
          <cell r="C102" t="str">
            <v>T.JUAN XXIII</v>
          </cell>
          <cell r="D102" t="str">
            <v>CACERES</v>
          </cell>
          <cell r="E102" t="str">
            <v>LA</v>
          </cell>
          <cell r="F102" t="str">
            <v>NO</v>
          </cell>
          <cell r="G102">
            <v>2.8668277379106417</v>
          </cell>
          <cell r="H102">
            <v>37.328861803276716</v>
          </cell>
          <cell r="I102">
            <v>423.3589364489801</v>
          </cell>
          <cell r="J102">
            <v>301.47368167994904</v>
          </cell>
          <cell r="K102">
            <v>109.75082038152249</v>
          </cell>
          <cell r="L102">
            <v>511.83392833531667</v>
          </cell>
          <cell r="M102">
            <v>0</v>
          </cell>
          <cell r="N102">
            <v>29.034894762780525</v>
          </cell>
          <cell r="O102">
            <v>114.40866419049679</v>
          </cell>
          <cell r="P102">
            <v>-1.1368683772161603E-13</v>
          </cell>
          <cell r="Q102" t="str">
            <v>Error</v>
          </cell>
          <cell r="R102">
            <v>1080.8962292500571</v>
          </cell>
          <cell r="S102">
            <v>23.505583402449727</v>
          </cell>
          <cell r="T102">
            <v>4.110922793985071</v>
          </cell>
          <cell r="U102" t="str">
            <v>B</v>
          </cell>
          <cell r="V102">
            <v>0</v>
          </cell>
          <cell r="W102">
            <v>1</v>
          </cell>
          <cell r="X102">
            <v>0</v>
          </cell>
          <cell r="Y102">
            <v>0</v>
          </cell>
          <cell r="Z102">
            <v>41</v>
          </cell>
          <cell r="AA102">
            <v>106.88399264361185</v>
          </cell>
          <cell r="AB102">
            <v>114.40866419049679</v>
          </cell>
          <cell r="AC102">
            <v>0.93422988022693854</v>
          </cell>
          <cell r="AD102">
            <v>-158.03012272667172</v>
          </cell>
          <cell r="AE102">
            <v>-51.146130083059859</v>
          </cell>
          <cell r="AF102">
            <v>-88</v>
          </cell>
          <cell r="AG102">
            <v>-88</v>
          </cell>
          <cell r="AI102">
            <v>2.1746383016580852E-2</v>
          </cell>
          <cell r="AJ102">
            <v>4.110922793985071</v>
          </cell>
          <cell r="AK102">
            <v>23.505583402449727</v>
          </cell>
          <cell r="AL102">
            <v>17.489133214011762</v>
          </cell>
          <cell r="AM102">
            <v>0.93422988022693854</v>
          </cell>
          <cell r="AN102">
            <v>-88</v>
          </cell>
          <cell r="AO102">
            <v>2.174638301658085</v>
          </cell>
          <cell r="AP102">
            <v>17.489133214011762</v>
          </cell>
          <cell r="AQ102">
            <v>25</v>
          </cell>
          <cell r="AR102">
            <v>0</v>
          </cell>
          <cell r="AS102">
            <v>7.8309220110539002</v>
          </cell>
          <cell r="AT102">
            <v>0</v>
          </cell>
          <cell r="AU102">
            <v>32.8309220110539</v>
          </cell>
        </row>
        <row r="103">
          <cell r="C103" t="str">
            <v>TERSA</v>
          </cell>
          <cell r="D103" t="str">
            <v>IBIZA</v>
          </cell>
          <cell r="E103" t="str">
            <v>FL</v>
          </cell>
          <cell r="F103" t="str">
            <v>SI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 t="str">
            <v>W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265</v>
          </cell>
          <cell r="AA103">
            <v>0</v>
          </cell>
          <cell r="AB103">
            <v>0</v>
          </cell>
          <cell r="AC103">
            <v>99</v>
          </cell>
          <cell r="AD103">
            <v>0</v>
          </cell>
          <cell r="AE103">
            <v>0</v>
          </cell>
          <cell r="AF103" t="str">
            <v>to check</v>
          </cell>
          <cell r="AG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9900</v>
          </cell>
          <cell r="AM103">
            <v>99</v>
          </cell>
          <cell r="AN103">
            <v>0</v>
          </cell>
          <cell r="AO103">
            <v>0</v>
          </cell>
          <cell r="AP103">
            <v>9900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</row>
        <row r="104">
          <cell r="C104" t="str">
            <v>T.VALIÑAS</v>
          </cell>
          <cell r="D104" t="str">
            <v>PONTEVEDRA</v>
          </cell>
          <cell r="E104" t="str">
            <v>A</v>
          </cell>
          <cell r="F104" t="str">
            <v>NO</v>
          </cell>
          <cell r="G104">
            <v>356.39416777853904</v>
          </cell>
          <cell r="H104">
            <v>2.4881901121488585</v>
          </cell>
          <cell r="I104">
            <v>270.21504213094852</v>
          </cell>
          <cell r="J104">
            <v>408.77838279662956</v>
          </cell>
          <cell r="K104">
            <v>76.388638467178737</v>
          </cell>
          <cell r="L104">
            <v>414.61421033019604</v>
          </cell>
          <cell r="M104">
            <v>0</v>
          </cell>
          <cell r="N104">
            <v>59.596360270695854</v>
          </cell>
          <cell r="O104">
            <v>487.27657375019533</v>
          </cell>
          <cell r="P104">
            <v>0</v>
          </cell>
          <cell r="Q104">
            <v>0</v>
          </cell>
          <cell r="R104">
            <v>1905.2264012597213</v>
          </cell>
          <cell r="S104">
            <v>61.67586215186374</v>
          </cell>
          <cell r="T104">
            <v>58.736912961427045</v>
          </cell>
          <cell r="U104" t="str">
            <v>A</v>
          </cell>
          <cell r="V104">
            <v>1</v>
          </cell>
          <cell r="W104">
            <v>0</v>
          </cell>
          <cell r="X104">
            <v>0</v>
          </cell>
          <cell r="Y104">
            <v>0</v>
          </cell>
          <cell r="Z104">
            <v>67</v>
          </cell>
          <cell r="AA104">
            <v>-280.00552931136031</v>
          </cell>
          <cell r="AB104">
            <v>487.27657375019533</v>
          </cell>
          <cell r="AC104">
            <v>0</v>
          </cell>
          <cell r="AD104">
            <v>138.09455122426164</v>
          </cell>
          <cell r="AE104">
            <v>-141.91097808709867</v>
          </cell>
          <cell r="AF104" t="str">
            <v>to check</v>
          </cell>
          <cell r="AG104">
            <v>35</v>
          </cell>
          <cell r="AH104">
            <v>35</v>
          </cell>
          <cell r="AI104">
            <v>3.2371933388643012E-2</v>
          </cell>
          <cell r="AJ104">
            <v>58.736912961427045</v>
          </cell>
          <cell r="AK104">
            <v>61.67586215186374</v>
          </cell>
          <cell r="AL104">
            <v>95.234847008380427</v>
          </cell>
          <cell r="AM104">
            <v>0</v>
          </cell>
          <cell r="AN104">
            <v>35</v>
          </cell>
          <cell r="AO104">
            <v>3.2371933388643011</v>
          </cell>
          <cell r="AP104">
            <v>95.234847008380427</v>
          </cell>
          <cell r="AQ104">
            <v>25</v>
          </cell>
          <cell r="AR104">
            <v>12.5</v>
          </cell>
          <cell r="AS104">
            <v>14.91462225909534</v>
          </cell>
          <cell r="AT104">
            <v>15</v>
          </cell>
          <cell r="AU104">
            <v>67.414622259095339</v>
          </cell>
        </row>
        <row r="105">
          <cell r="C105" t="str">
            <v>TOPGUICAR</v>
          </cell>
          <cell r="D105" t="str">
            <v>GUIPUZCOA</v>
          </cell>
          <cell r="E105" t="str">
            <v>FA</v>
          </cell>
          <cell r="F105" t="str">
            <v>NO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str">
            <v>W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99</v>
          </cell>
          <cell r="AD105">
            <v>0</v>
          </cell>
          <cell r="AE105">
            <v>0</v>
          </cell>
          <cell r="AF105" t="str">
            <v>to check</v>
          </cell>
          <cell r="AG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9900</v>
          </cell>
          <cell r="AM105">
            <v>99</v>
          </cell>
          <cell r="AN105">
            <v>0</v>
          </cell>
          <cell r="AO105">
            <v>0</v>
          </cell>
          <cell r="AP105">
            <v>9900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</row>
        <row r="106">
          <cell r="C106" t="str">
            <v>TORINO MOTOR</v>
          </cell>
          <cell r="D106" t="str">
            <v>MALAGA MARBELLA</v>
          </cell>
          <cell r="E106" t="str">
            <v>FL</v>
          </cell>
          <cell r="F106" t="str">
            <v>NO</v>
          </cell>
          <cell r="G106">
            <v>28.427872537352904</v>
          </cell>
          <cell r="H106">
            <v>1104.8585818518386</v>
          </cell>
          <cell r="I106">
            <v>3790.6434435589535</v>
          </cell>
          <cell r="J106">
            <v>1332.3717139663192</v>
          </cell>
          <cell r="K106">
            <v>507.42850961018354</v>
          </cell>
          <cell r="L106">
            <v>4652.6450542713928</v>
          </cell>
          <cell r="M106">
            <v>668.58389527965096</v>
          </cell>
          <cell r="N106">
            <v>42.215090211916866</v>
          </cell>
          <cell r="O106">
            <v>385.42906254131958</v>
          </cell>
          <cell r="P106">
            <v>0</v>
          </cell>
          <cell r="Q106">
            <v>0</v>
          </cell>
          <cell r="R106">
            <v>19105.838231581984</v>
          </cell>
          <cell r="S106">
            <v>69.645282655992688</v>
          </cell>
          <cell r="T106">
            <v>-61.375356099671848</v>
          </cell>
          <cell r="U106" t="str">
            <v>D</v>
          </cell>
          <cell r="V106">
            <v>0</v>
          </cell>
          <cell r="W106">
            <v>0</v>
          </cell>
          <cell r="X106">
            <v>0</v>
          </cell>
          <cell r="Y106">
            <v>1</v>
          </cell>
          <cell r="Z106">
            <v>1532</v>
          </cell>
          <cell r="AA106">
            <v>1147.5845323524816</v>
          </cell>
          <cell r="AB106">
            <v>385.42906254131958</v>
          </cell>
          <cell r="AC106">
            <v>2.9774208638702637</v>
          </cell>
          <cell r="AD106">
            <v>-236.14366593343198</v>
          </cell>
          <cell r="AE106">
            <v>242.85697113939932</v>
          </cell>
          <cell r="AF106">
            <v>-97.235695901801421</v>
          </cell>
          <cell r="AG106">
            <v>-97.235695901801421</v>
          </cell>
          <cell r="AI106">
            <v>3.6452356505808216E-3</v>
          </cell>
          <cell r="AJ106">
            <v>-61.375356099671848</v>
          </cell>
          <cell r="AK106">
            <v>69.645282655992688</v>
          </cell>
          <cell r="AL106">
            <v>-88.125647221263378</v>
          </cell>
          <cell r="AM106">
            <v>2.9774208638702637</v>
          </cell>
          <cell r="AN106">
            <v>-97.235695901801421</v>
          </cell>
          <cell r="AO106">
            <v>0.36452356505808214</v>
          </cell>
          <cell r="AP106">
            <v>-88.125647221263378</v>
          </cell>
          <cell r="AQ106">
            <v>0.28223920162170346</v>
          </cell>
          <cell r="AR106">
            <v>0</v>
          </cell>
          <cell r="AS106">
            <v>0</v>
          </cell>
          <cell r="AT106">
            <v>0</v>
          </cell>
          <cell r="AU106">
            <v>0.28223920162170346</v>
          </cell>
        </row>
        <row r="107">
          <cell r="C107" t="str">
            <v>TOT AUTO LLEIDA</v>
          </cell>
          <cell r="D107" t="str">
            <v>LERIDA</v>
          </cell>
          <cell r="E107" t="str">
            <v>FLA</v>
          </cell>
          <cell r="F107" t="str">
            <v>NO</v>
          </cell>
          <cell r="G107">
            <v>24.978063058189992</v>
          </cell>
          <cell r="H107">
            <v>185.15980911855564</v>
          </cell>
          <cell r="I107">
            <v>1218.0892623177431</v>
          </cell>
          <cell r="J107">
            <v>261.26597189667399</v>
          </cell>
          <cell r="K107">
            <v>17.813998773935307</v>
          </cell>
          <cell r="L107">
            <v>1346.0327190989626</v>
          </cell>
          <cell r="M107">
            <v>8.5043212770305203</v>
          </cell>
          <cell r="N107">
            <v>54.559878835959758</v>
          </cell>
          <cell r="O107">
            <v>262.58218840527451</v>
          </cell>
          <cell r="P107">
            <v>0</v>
          </cell>
          <cell r="Q107">
            <v>0</v>
          </cell>
          <cell r="R107">
            <v>4706.4055870085222</v>
          </cell>
          <cell r="S107">
            <v>30.573485750003005</v>
          </cell>
          <cell r="T107">
            <v>7.3684083997451708</v>
          </cell>
          <cell r="U107" t="str">
            <v>B</v>
          </cell>
          <cell r="V107">
            <v>0</v>
          </cell>
          <cell r="W107">
            <v>1</v>
          </cell>
          <cell r="X107">
            <v>0</v>
          </cell>
          <cell r="Y107">
            <v>0</v>
          </cell>
          <cell r="Z107">
            <v>300</v>
          </cell>
          <cell r="AA107">
            <v>1.340256992775835</v>
          </cell>
          <cell r="AB107">
            <v>262.58218840527451</v>
          </cell>
          <cell r="AC107">
            <v>5.104142824444954E-3</v>
          </cell>
          <cell r="AD107">
            <v>64.380416621590769</v>
          </cell>
          <cell r="AE107">
            <v>57.216352337336048</v>
          </cell>
          <cell r="AF107">
            <v>112.52100840336141</v>
          </cell>
          <cell r="AG107">
            <v>112.52100840336141</v>
          </cell>
          <cell r="AI107">
            <v>6.4961434336210863E-3</v>
          </cell>
          <cell r="AJ107">
            <v>7.3684083997451708</v>
          </cell>
          <cell r="AK107">
            <v>30.573485750003005</v>
          </cell>
          <cell r="AL107">
            <v>24.100648712404169</v>
          </cell>
          <cell r="AM107">
            <v>5.104142824444954E-3</v>
          </cell>
          <cell r="AN107">
            <v>112.52100840336141</v>
          </cell>
          <cell r="AO107">
            <v>0.64961434336210866</v>
          </cell>
          <cell r="AP107">
            <v>24.100648712404169</v>
          </cell>
          <cell r="AQ107">
            <v>25</v>
          </cell>
          <cell r="AR107">
            <v>20</v>
          </cell>
          <cell r="AS107">
            <v>0</v>
          </cell>
          <cell r="AT107">
            <v>2.0503243562020845</v>
          </cell>
          <cell r="AU107">
            <v>47.050324356202083</v>
          </cell>
        </row>
        <row r="108">
          <cell r="C108" t="str">
            <v>TOVAHER</v>
          </cell>
          <cell r="D108" t="str">
            <v>TOLEDO</v>
          </cell>
          <cell r="E108" t="str">
            <v>FA</v>
          </cell>
          <cell r="F108" t="str">
            <v>NO</v>
          </cell>
          <cell r="G108">
            <v>393.87328260791173</v>
          </cell>
          <cell r="H108">
            <v>307.81435938119796</v>
          </cell>
          <cell r="I108">
            <v>1699.1994518769609</v>
          </cell>
          <cell r="J108">
            <v>727.38090945151635</v>
          </cell>
          <cell r="K108">
            <v>146.37649802267018</v>
          </cell>
          <cell r="L108">
            <v>2227.9939417979876</v>
          </cell>
          <cell r="M108">
            <v>219.56174197348335</v>
          </cell>
          <cell r="N108">
            <v>16.58793408099239</v>
          </cell>
          <cell r="O108">
            <v>517.74788744245313</v>
          </cell>
          <cell r="P108">
            <v>0</v>
          </cell>
          <cell r="Q108">
            <v>0</v>
          </cell>
          <cell r="R108">
            <v>6595.0801149135141</v>
          </cell>
          <cell r="S108">
            <v>167.26166865000661</v>
          </cell>
          <cell r="T108">
            <v>134.99933888668519</v>
          </cell>
          <cell r="U108" t="str">
            <v>B</v>
          </cell>
          <cell r="V108">
            <v>0</v>
          </cell>
          <cell r="W108">
            <v>1</v>
          </cell>
          <cell r="X108">
            <v>0</v>
          </cell>
          <cell r="Y108">
            <v>0</v>
          </cell>
          <cell r="Z108">
            <v>403</v>
          </cell>
          <cell r="AA108">
            <v>-27.935042611758206</v>
          </cell>
          <cell r="AB108">
            <v>517.74788744245313</v>
          </cell>
          <cell r="AC108">
            <v>0</v>
          </cell>
          <cell r="AD108">
            <v>26.516654045412565</v>
          </cell>
          <cell r="AE108">
            <v>-220.98013053982868</v>
          </cell>
          <cell r="AF108" t="str">
            <v>to check</v>
          </cell>
          <cell r="AG108">
            <v>25</v>
          </cell>
          <cell r="AH108">
            <v>25</v>
          </cell>
          <cell r="AI108">
            <v>2.5361582533588379E-2</v>
          </cell>
          <cell r="AJ108">
            <v>134.99933888668519</v>
          </cell>
          <cell r="AK108">
            <v>167.26166865000661</v>
          </cell>
          <cell r="AL108">
            <v>80.71146245059289</v>
          </cell>
          <cell r="AM108">
            <v>0</v>
          </cell>
          <cell r="AN108">
            <v>25</v>
          </cell>
          <cell r="AO108">
            <v>2.5361582533588378</v>
          </cell>
          <cell r="AP108">
            <v>80.71146245059289</v>
          </cell>
          <cell r="AQ108">
            <v>25</v>
          </cell>
          <cell r="AR108">
            <v>7.5</v>
          </cell>
          <cell r="AS108">
            <v>10.241055022392251</v>
          </cell>
          <cell r="AT108">
            <v>15</v>
          </cell>
          <cell r="AU108">
            <v>57.741055022392253</v>
          </cell>
        </row>
        <row r="109">
          <cell r="C109" t="str">
            <v>TOXIAUTO</v>
          </cell>
          <cell r="D109" t="str">
            <v>TORREDONJIMENO</v>
          </cell>
          <cell r="E109" t="str">
            <v>FL</v>
          </cell>
          <cell r="F109" t="str">
            <v>NO</v>
          </cell>
          <cell r="G109">
            <v>33.001574651713483</v>
          </cell>
          <cell r="H109">
            <v>5.6014328128568511</v>
          </cell>
          <cell r="I109">
            <v>2373.9617515896771</v>
          </cell>
          <cell r="J109">
            <v>629.84866515211615</v>
          </cell>
          <cell r="K109">
            <v>35.014965201399157</v>
          </cell>
          <cell r="L109">
            <v>2669.2450085944733</v>
          </cell>
          <cell r="M109">
            <v>105.67595831380044</v>
          </cell>
          <cell r="N109">
            <v>34.191578618393372</v>
          </cell>
          <cell r="O109">
            <v>198.28591347829746</v>
          </cell>
          <cell r="P109">
            <v>0</v>
          </cell>
          <cell r="Q109">
            <v>0</v>
          </cell>
          <cell r="R109">
            <v>2919.698772733283</v>
          </cell>
          <cell r="S109">
            <v>68.226894089646962</v>
          </cell>
          <cell r="T109">
            <v>2.0434411549048597</v>
          </cell>
          <cell r="U109" t="str">
            <v>B</v>
          </cell>
          <cell r="V109">
            <v>0</v>
          </cell>
          <cell r="W109">
            <v>1</v>
          </cell>
          <cell r="X109">
            <v>0</v>
          </cell>
          <cell r="Y109">
            <v>0</v>
          </cell>
          <cell r="Z109">
            <v>128</v>
          </cell>
          <cell r="AA109">
            <v>107.6893488634861</v>
          </cell>
          <cell r="AB109">
            <v>198.28591347829746</v>
          </cell>
          <cell r="AC109">
            <v>0.54310135790494662</v>
          </cell>
          <cell r="AD109">
            <v>-291.69521474162491</v>
          </cell>
          <cell r="AE109">
            <v>-289.68182419193954</v>
          </cell>
          <cell r="AF109">
            <v>-88</v>
          </cell>
          <cell r="AG109">
            <v>-88</v>
          </cell>
          <cell r="AI109">
            <v>2.3367785309501704E-2</v>
          </cell>
          <cell r="AJ109">
            <v>2.0434411549048597</v>
          </cell>
          <cell r="AK109">
            <v>68.226894089646962</v>
          </cell>
          <cell r="AL109">
            <v>2.995066948555321</v>
          </cell>
          <cell r="AM109">
            <v>0.54310135790494662</v>
          </cell>
          <cell r="AN109">
            <v>-88</v>
          </cell>
          <cell r="AO109">
            <v>2.3367785309501703</v>
          </cell>
          <cell r="AP109">
            <v>2.995066948555321</v>
          </cell>
          <cell r="AQ109">
            <v>25</v>
          </cell>
          <cell r="AR109">
            <v>0</v>
          </cell>
          <cell r="AS109">
            <v>8.9118568730011347</v>
          </cell>
          <cell r="AT109">
            <v>0</v>
          </cell>
          <cell r="AU109">
            <v>33.911856873001135</v>
          </cell>
        </row>
        <row r="110">
          <cell r="C110" t="str">
            <v>TURIAUTO</v>
          </cell>
          <cell r="D110" t="str">
            <v>SAN BOI</v>
          </cell>
          <cell r="E110" t="str">
            <v>FLA</v>
          </cell>
          <cell r="F110" t="str">
            <v>NO</v>
          </cell>
          <cell r="G110">
            <v>1028.9747935523421</v>
          </cell>
          <cell r="H110">
            <v>1161.8525597105527</v>
          </cell>
          <cell r="I110">
            <v>3581.1306239707669</v>
          </cell>
          <cell r="J110">
            <v>1783.8039258110659</v>
          </cell>
          <cell r="K110">
            <v>100.73563881576575</v>
          </cell>
          <cell r="L110">
            <v>4129.0132583270224</v>
          </cell>
          <cell r="M110">
            <v>128.06365920209635</v>
          </cell>
          <cell r="N110">
            <v>1074.5315110646329</v>
          </cell>
          <cell r="O110">
            <v>2123.4178356352099</v>
          </cell>
          <cell r="P110">
            <v>0</v>
          </cell>
          <cell r="Q110">
            <v>0</v>
          </cell>
          <cell r="R110">
            <v>16460.152897479355</v>
          </cell>
          <cell r="S110">
            <v>545.41247460723855</v>
          </cell>
          <cell r="T110">
            <v>465.46584448210785</v>
          </cell>
          <cell r="U110" t="str">
            <v>A</v>
          </cell>
          <cell r="V110">
            <v>1</v>
          </cell>
          <cell r="W110">
            <v>0</v>
          </cell>
          <cell r="X110">
            <v>0</v>
          </cell>
          <cell r="Y110">
            <v>0</v>
          </cell>
          <cell r="Z110">
            <v>1034</v>
          </cell>
          <cell r="AA110">
            <v>-800.17549553447998</v>
          </cell>
          <cell r="AB110">
            <v>2123.4178356352099</v>
          </cell>
          <cell r="AC110">
            <v>0</v>
          </cell>
          <cell r="AD110">
            <v>1542.2090800908734</v>
          </cell>
          <cell r="AE110">
            <v>613.96992535429672</v>
          </cell>
          <cell r="AF110">
            <v>251.18642076823681</v>
          </cell>
          <cell r="AG110">
            <v>251.18642076823681</v>
          </cell>
          <cell r="AI110">
            <v>3.3135322496959364E-2</v>
          </cell>
          <cell r="AJ110">
            <v>465.46584448210785</v>
          </cell>
          <cell r="AK110">
            <v>545.41247460723855</v>
          </cell>
          <cell r="AL110">
            <v>85.341987239528819</v>
          </cell>
          <cell r="AM110">
            <v>0</v>
          </cell>
          <cell r="AN110">
            <v>251.18642076823681</v>
          </cell>
          <cell r="AO110">
            <v>3.3135322496959363</v>
          </cell>
          <cell r="AP110">
            <v>85.341987239528819</v>
          </cell>
          <cell r="AQ110">
            <v>25</v>
          </cell>
          <cell r="AR110">
            <v>20</v>
          </cell>
          <cell r="AS110">
            <v>15.423548331306243</v>
          </cell>
          <cell r="AT110">
            <v>15</v>
          </cell>
          <cell r="AU110">
            <v>75.42354833130625</v>
          </cell>
        </row>
        <row r="111">
          <cell r="C111" t="str">
            <v>TURIMOTOR</v>
          </cell>
          <cell r="D111" t="str">
            <v>CALAHORRA</v>
          </cell>
          <cell r="E111" t="str">
            <v>FL</v>
          </cell>
          <cell r="F111" t="str">
            <v>NO</v>
          </cell>
          <cell r="G111">
            <v>99.936292716935327</v>
          </cell>
          <cell r="H111">
            <v>47.522027093625667</v>
          </cell>
          <cell r="I111">
            <v>658.29456805260065</v>
          </cell>
          <cell r="J111">
            <v>305.42834132679434</v>
          </cell>
          <cell r="K111">
            <v>0</v>
          </cell>
          <cell r="L111">
            <v>747.06405587008521</v>
          </cell>
          <cell r="M111">
            <v>0</v>
          </cell>
          <cell r="N111">
            <v>0</v>
          </cell>
          <cell r="O111">
            <v>364.11717331987069</v>
          </cell>
          <cell r="P111">
            <v>0</v>
          </cell>
          <cell r="Q111">
            <v>0</v>
          </cell>
          <cell r="R111">
            <v>3374.2382171576937</v>
          </cell>
          <cell r="S111">
            <v>16.810308559614391</v>
          </cell>
          <cell r="T111">
            <v>3.5039005685574507</v>
          </cell>
          <cell r="U111" t="str">
            <v>B</v>
          </cell>
          <cell r="V111">
            <v>0</v>
          </cell>
          <cell r="W111">
            <v>1</v>
          </cell>
          <cell r="X111">
            <v>0</v>
          </cell>
          <cell r="Y111">
            <v>0</v>
          </cell>
          <cell r="Z111">
            <v>169</v>
          </cell>
          <cell r="AA111">
            <v>-99.936292716935327</v>
          </cell>
          <cell r="AB111">
            <v>364.11717331987069</v>
          </cell>
          <cell r="AC111">
            <v>0</v>
          </cell>
          <cell r="AD111">
            <v>58.688831993076349</v>
          </cell>
          <cell r="AE111">
            <v>-41.247460723858921</v>
          </cell>
          <cell r="AF111" t="str">
            <v>to check</v>
          </cell>
          <cell r="AG111">
            <v>25</v>
          </cell>
          <cell r="AH111">
            <v>25</v>
          </cell>
          <cell r="AI111">
            <v>4.9819566603612944E-3</v>
          </cell>
          <cell r="AJ111">
            <v>3.5039005685574507</v>
          </cell>
          <cell r="AK111">
            <v>16.810308559614391</v>
          </cell>
          <cell r="AL111">
            <v>20.843761172685017</v>
          </cell>
          <cell r="AM111">
            <v>0</v>
          </cell>
          <cell r="AN111">
            <v>25</v>
          </cell>
          <cell r="AO111">
            <v>0.49819566603612941</v>
          </cell>
          <cell r="AP111">
            <v>20.843761172685017</v>
          </cell>
          <cell r="AQ111">
            <v>25</v>
          </cell>
          <cell r="AR111">
            <v>7.5</v>
          </cell>
          <cell r="AS111">
            <v>0</v>
          </cell>
          <cell r="AT111">
            <v>0.42188058634250858</v>
          </cell>
          <cell r="AU111">
            <v>32.92188058634251</v>
          </cell>
        </row>
        <row r="112">
          <cell r="C112" t="str">
            <v>URBI MOTOR</v>
          </cell>
          <cell r="D112" t="str">
            <v>BASAURI</v>
          </cell>
          <cell r="E112" t="str">
            <v>F</v>
          </cell>
          <cell r="F112" t="str">
            <v>NO</v>
          </cell>
          <cell r="G112">
            <v>87.765797603163733</v>
          </cell>
          <cell r="H112">
            <v>146.16013366509202</v>
          </cell>
          <cell r="I112">
            <v>1468.8615628718762</v>
          </cell>
          <cell r="J112">
            <v>69.164472972485669</v>
          </cell>
          <cell r="K112">
            <v>44.661209476758863</v>
          </cell>
          <cell r="L112">
            <v>1376.3838303703437</v>
          </cell>
          <cell r="M112">
            <v>0</v>
          </cell>
          <cell r="N112">
            <v>107.52106547425865</v>
          </cell>
          <cell r="O112">
            <v>243.38586179125647</v>
          </cell>
          <cell r="P112">
            <v>0</v>
          </cell>
          <cell r="Q112">
            <v>0</v>
          </cell>
          <cell r="R112">
            <v>3221.058262113399</v>
          </cell>
          <cell r="S112">
            <v>62.595410671570924</v>
          </cell>
          <cell r="T112">
            <v>40.706549829913577</v>
          </cell>
          <cell r="U112" t="str">
            <v>A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230</v>
          </cell>
          <cell r="AA112">
            <v>-43.10458812640487</v>
          </cell>
          <cell r="AB112">
            <v>243.38586179125647</v>
          </cell>
          <cell r="AC112">
            <v>0</v>
          </cell>
          <cell r="AD112">
            <v>281.74245429302948</v>
          </cell>
          <cell r="AE112">
            <v>238.63786616662446</v>
          </cell>
          <cell r="AF112">
            <v>118.06276129552215</v>
          </cell>
          <cell r="AG112">
            <v>118.06276129552215</v>
          </cell>
          <cell r="AI112">
            <v>1.9433181761357169E-2</v>
          </cell>
          <cell r="AJ112">
            <v>40.706549829913577</v>
          </cell>
          <cell r="AK112">
            <v>62.595410671570924</v>
          </cell>
          <cell r="AL112">
            <v>65.031204992798848</v>
          </cell>
          <cell r="AM112">
            <v>0</v>
          </cell>
          <cell r="AN112">
            <v>118.06276129552215</v>
          </cell>
          <cell r="AO112">
            <v>1.943318176135717</v>
          </cell>
          <cell r="AP112">
            <v>65.031204992798848</v>
          </cell>
          <cell r="AQ112">
            <v>25</v>
          </cell>
          <cell r="AR112">
            <v>20</v>
          </cell>
          <cell r="AS112">
            <v>6.2887878409047806</v>
          </cell>
          <cell r="AT112">
            <v>15</v>
          </cell>
          <cell r="AU112">
            <v>66.288787840904774</v>
          </cell>
        </row>
        <row r="113">
          <cell r="C113" t="str">
            <v>VAGMA</v>
          </cell>
          <cell r="D113" t="str">
            <v>MADRID</v>
          </cell>
          <cell r="E113" t="str">
            <v>FLA</v>
          </cell>
          <cell r="F113" t="str">
            <v>NO</v>
          </cell>
          <cell r="G113">
            <v>34.486074549541428</v>
          </cell>
          <cell r="H113">
            <v>2289.477480076449</v>
          </cell>
          <cell r="I113">
            <v>4970.3280324065727</v>
          </cell>
          <cell r="J113">
            <v>1661.2335172430373</v>
          </cell>
          <cell r="K113">
            <v>570.88937771206713</v>
          </cell>
          <cell r="L113">
            <v>6979.0547281622257</v>
          </cell>
          <cell r="M113">
            <v>6.2084550382844714</v>
          </cell>
          <cell r="N113">
            <v>33.855011839938456</v>
          </cell>
          <cell r="O113">
            <v>1365.5175315230849</v>
          </cell>
          <cell r="P113">
            <v>0</v>
          </cell>
          <cell r="Q113">
            <v>0</v>
          </cell>
          <cell r="R113">
            <v>23701.170771579342</v>
          </cell>
          <cell r="S113">
            <v>363.4260093998293</v>
          </cell>
          <cell r="T113">
            <v>232.30920870746337</v>
          </cell>
          <cell r="U113" t="str">
            <v>B</v>
          </cell>
          <cell r="V113">
            <v>0</v>
          </cell>
          <cell r="W113">
            <v>1</v>
          </cell>
          <cell r="X113">
            <v>0</v>
          </cell>
          <cell r="Y113">
            <v>0</v>
          </cell>
          <cell r="Z113">
            <v>1203</v>
          </cell>
          <cell r="AA113">
            <v>542.61175820081019</v>
          </cell>
          <cell r="AB113">
            <v>1365.5175315230849</v>
          </cell>
          <cell r="AC113">
            <v>0.39736711223003218</v>
          </cell>
          <cell r="AD113">
            <v>-255.65251884172949</v>
          </cell>
          <cell r="AE113">
            <v>280.7507843207959</v>
          </cell>
          <cell r="AF113">
            <v>-91.06030441204814</v>
          </cell>
          <cell r="AG113">
            <v>-91.06030441204814</v>
          </cell>
          <cell r="AI113">
            <v>1.5333673298351252E-2</v>
          </cell>
          <cell r="AJ113">
            <v>232.30920870746337</v>
          </cell>
          <cell r="AK113">
            <v>363.4260093998293</v>
          </cell>
          <cell r="AL113">
            <v>63.92200962476641</v>
          </cell>
          <cell r="AM113">
            <v>0.39736711223003218</v>
          </cell>
          <cell r="AN113">
            <v>-91.06030441204814</v>
          </cell>
          <cell r="AO113">
            <v>1.5333673298351251</v>
          </cell>
          <cell r="AP113">
            <v>63.92200962476641</v>
          </cell>
          <cell r="AQ113">
            <v>25</v>
          </cell>
          <cell r="AR113">
            <v>0</v>
          </cell>
          <cell r="AS113">
            <v>3.5557821989008342</v>
          </cell>
          <cell r="AT113">
            <v>15</v>
          </cell>
          <cell r="AU113">
            <v>43.555782198900836</v>
          </cell>
        </row>
        <row r="114">
          <cell r="C114" t="str">
            <v>VALLES MOTOR II</v>
          </cell>
          <cell r="D114" t="str">
            <v>GRANOLLERS</v>
          </cell>
          <cell r="E114" t="str">
            <v>FLA</v>
          </cell>
          <cell r="F114" t="str">
            <v>NO</v>
          </cell>
          <cell r="G114">
            <v>233.87184017886122</v>
          </cell>
          <cell r="H114">
            <v>692.75059199692282</v>
          </cell>
          <cell r="I114">
            <v>2799.9591311769018</v>
          </cell>
          <cell r="J114">
            <v>117.60604858581853</v>
          </cell>
          <cell r="K114">
            <v>0</v>
          </cell>
          <cell r="L114">
            <v>2623.2315218828508</v>
          </cell>
          <cell r="M114">
            <v>0</v>
          </cell>
          <cell r="N114">
            <v>5.8718882598295528</v>
          </cell>
          <cell r="O114">
            <v>1215.0842017958241</v>
          </cell>
          <cell r="P114">
            <v>0</v>
          </cell>
          <cell r="Q114">
            <v>0</v>
          </cell>
          <cell r="R114">
            <v>10710.564590770859</v>
          </cell>
          <cell r="S114">
            <v>230.06142343706802</v>
          </cell>
          <cell r="T114">
            <v>224.14145420888778</v>
          </cell>
          <cell r="U114" t="str">
            <v>A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615</v>
          </cell>
          <cell r="AA114">
            <v>-233.87184017886122</v>
          </cell>
          <cell r="AB114">
            <v>1215.0842017958241</v>
          </cell>
          <cell r="AC114">
            <v>0</v>
          </cell>
          <cell r="AD114">
            <v>1103.3500414698351</v>
          </cell>
          <cell r="AE114">
            <v>869.47820129097363</v>
          </cell>
          <cell r="AF114">
            <v>126.89795325881845</v>
          </cell>
          <cell r="AG114">
            <v>126.89795325881845</v>
          </cell>
          <cell r="AI114">
            <v>2.1479859580447205E-2</v>
          </cell>
          <cell r="AJ114">
            <v>224.14145420888778</v>
          </cell>
          <cell r="AK114">
            <v>230.06142343706802</v>
          </cell>
          <cell r="AL114">
            <v>97.426787533634638</v>
          </cell>
          <cell r="AM114">
            <v>0</v>
          </cell>
          <cell r="AN114">
            <v>126.89795325881845</v>
          </cell>
          <cell r="AO114">
            <v>2.1479859580447203</v>
          </cell>
          <cell r="AP114">
            <v>97.426787533634638</v>
          </cell>
          <cell r="AQ114">
            <v>25</v>
          </cell>
          <cell r="AR114">
            <v>20</v>
          </cell>
          <cell r="AS114">
            <v>7.653239720298135</v>
          </cell>
          <cell r="AT114">
            <v>15</v>
          </cell>
          <cell r="AU114">
            <v>67.653239720298131</v>
          </cell>
        </row>
        <row r="115">
          <cell r="C115" t="str">
            <v>VEH.IND.ARME</v>
          </cell>
          <cell r="D115" t="str">
            <v>VITORIA</v>
          </cell>
          <cell r="E115" t="str">
            <v>F</v>
          </cell>
          <cell r="F115" t="str">
            <v>NO</v>
          </cell>
          <cell r="G115">
            <v>506.09426273845156</v>
          </cell>
          <cell r="H115">
            <v>195.83979421345546</v>
          </cell>
          <cell r="I115">
            <v>624.42753597057447</v>
          </cell>
          <cell r="J115">
            <v>175.28518024353011</v>
          </cell>
          <cell r="K115">
            <v>22.730277787794648</v>
          </cell>
          <cell r="L115">
            <v>811.08987535008953</v>
          </cell>
          <cell r="M115">
            <v>110.15950861250346</v>
          </cell>
          <cell r="N115">
            <v>0</v>
          </cell>
          <cell r="O115">
            <v>557.66711141562394</v>
          </cell>
          <cell r="P115">
            <v>0</v>
          </cell>
          <cell r="Q115">
            <v>0</v>
          </cell>
          <cell r="R115">
            <v>4470.4482348274496</v>
          </cell>
          <cell r="S115">
            <v>170.24869880879402</v>
          </cell>
          <cell r="T115">
            <v>162.33336939405959</v>
          </cell>
          <cell r="U115" t="str">
            <v>A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172</v>
          </cell>
          <cell r="AA115">
            <v>-373.20447633815343</v>
          </cell>
          <cell r="AB115">
            <v>557.66711141562394</v>
          </cell>
          <cell r="AC115">
            <v>0</v>
          </cell>
          <cell r="AD115">
            <v>492.54143978459729</v>
          </cell>
          <cell r="AE115">
            <v>9.1774548339403736</v>
          </cell>
          <cell r="AF115">
            <v>5366.8631303208804</v>
          </cell>
          <cell r="AG115">
            <v>5366.8631303208804</v>
          </cell>
          <cell r="AI115">
            <v>3.8083138393697404E-2</v>
          </cell>
          <cell r="AJ115">
            <v>162.33336939405959</v>
          </cell>
          <cell r="AK115">
            <v>170.24869880879402</v>
          </cell>
          <cell r="AL115">
            <v>95.350725456278454</v>
          </cell>
          <cell r="AM115">
            <v>0</v>
          </cell>
          <cell r="AN115">
            <v>5366.8631303208804</v>
          </cell>
          <cell r="AO115">
            <v>3.8083138393697404</v>
          </cell>
          <cell r="AP115">
            <v>95.350725456278454</v>
          </cell>
          <cell r="AQ115">
            <v>25</v>
          </cell>
          <cell r="AR115">
            <v>20</v>
          </cell>
          <cell r="AS115">
            <v>18.722092262464937</v>
          </cell>
          <cell r="AT115">
            <v>15</v>
          </cell>
          <cell r="AU115">
            <v>78.72209226246494</v>
          </cell>
        </row>
        <row r="116">
          <cell r="C116" t="str">
            <v>VELCONI</v>
          </cell>
          <cell r="D116" t="str">
            <v>ZARAGOZA</v>
          </cell>
          <cell r="E116" t="str">
            <v>FL</v>
          </cell>
          <cell r="F116" t="str">
            <v>NO</v>
          </cell>
          <cell r="G116">
            <v>100.23679876912722</v>
          </cell>
          <cell r="H116">
            <v>423.85777649561862</v>
          </cell>
          <cell r="I116">
            <v>3162.3814503624103</v>
          </cell>
          <cell r="J116">
            <v>812.24381859050641</v>
          </cell>
          <cell r="K116">
            <v>1098.247448703617</v>
          </cell>
          <cell r="L116">
            <v>2813.0672051735123</v>
          </cell>
          <cell r="M116">
            <v>34.738499633382617</v>
          </cell>
          <cell r="N116">
            <v>0</v>
          </cell>
          <cell r="O116">
            <v>552.66669070715091</v>
          </cell>
          <cell r="P116">
            <v>0</v>
          </cell>
          <cell r="Q116">
            <v>0</v>
          </cell>
          <cell r="R116">
            <v>11987.036168908442</v>
          </cell>
          <cell r="S116">
            <v>165.35646027911002</v>
          </cell>
          <cell r="T116">
            <v>63.587080643804171</v>
          </cell>
          <cell r="U116" t="str">
            <v>C</v>
          </cell>
          <cell r="V116">
            <v>0</v>
          </cell>
          <cell r="W116">
            <v>0</v>
          </cell>
          <cell r="X116">
            <v>1</v>
          </cell>
          <cell r="Y116">
            <v>0</v>
          </cell>
          <cell r="Z116">
            <v>589</v>
          </cell>
          <cell r="AA116">
            <v>1032.7491495678723</v>
          </cell>
          <cell r="AB116">
            <v>552.66669070715091</v>
          </cell>
          <cell r="AC116">
            <v>1.8686654486928529</v>
          </cell>
          <cell r="AD116">
            <v>-224.83862824997288</v>
          </cell>
          <cell r="AE116">
            <v>773.17202168451649</v>
          </cell>
          <cell r="AF116">
            <v>-29.080026429320998</v>
          </cell>
          <cell r="AG116">
            <v>-29.080026429320998</v>
          </cell>
          <cell r="AI116">
            <v>1.3794607603504682E-2</v>
          </cell>
          <cell r="AJ116">
            <v>63.587080643804171</v>
          </cell>
          <cell r="AK116">
            <v>165.35646027911002</v>
          </cell>
          <cell r="AL116">
            <v>38.454548758768588</v>
          </cell>
          <cell r="AM116">
            <v>1.8686654486928529</v>
          </cell>
          <cell r="AN116">
            <v>-29.080026429320998</v>
          </cell>
          <cell r="AO116">
            <v>1.3794607603504683</v>
          </cell>
          <cell r="AP116">
            <v>38.454548758768588</v>
          </cell>
          <cell r="AQ116">
            <v>14.141681891339339</v>
          </cell>
          <cell r="AR116">
            <v>0</v>
          </cell>
          <cell r="AS116">
            <v>2.5297384023364549</v>
          </cell>
          <cell r="AT116">
            <v>9.2272743793842942</v>
          </cell>
          <cell r="AU116">
            <v>25.898694673060088</v>
          </cell>
        </row>
        <row r="117">
          <cell r="C117" t="str">
            <v>VIACAR</v>
          </cell>
          <cell r="D117" t="str">
            <v>VIGO</v>
          </cell>
          <cell r="E117" t="str">
            <v>FL</v>
          </cell>
          <cell r="F117" t="str">
            <v>NO</v>
          </cell>
          <cell r="G117">
            <v>50.521077494500737</v>
          </cell>
          <cell r="H117">
            <v>705.89472671979615</v>
          </cell>
          <cell r="I117">
            <v>1235.7770485497579</v>
          </cell>
          <cell r="J117">
            <v>285.49877994542811</v>
          </cell>
          <cell r="K117">
            <v>621.81914343754886</v>
          </cell>
          <cell r="L117">
            <v>1440.9565708653372</v>
          </cell>
          <cell r="M117">
            <v>3.0952123375764788</v>
          </cell>
          <cell r="N117">
            <v>186.31375235897252</v>
          </cell>
          <cell r="O117">
            <v>25.506953710047721</v>
          </cell>
          <cell r="P117">
            <v>-1.3855583347321954E-13</v>
          </cell>
          <cell r="Q117" t="str">
            <v>Error</v>
          </cell>
          <cell r="R117">
            <v>4285.5468609137788</v>
          </cell>
          <cell r="S117">
            <v>-138.41909776062892</v>
          </cell>
          <cell r="T117">
            <v>-207.63165170146527</v>
          </cell>
          <cell r="U117" t="str">
            <v>D</v>
          </cell>
          <cell r="V117">
            <v>0</v>
          </cell>
          <cell r="W117">
            <v>0</v>
          </cell>
          <cell r="X117">
            <v>0</v>
          </cell>
          <cell r="Y117">
            <v>1</v>
          </cell>
          <cell r="Z117">
            <v>309</v>
          </cell>
          <cell r="AA117">
            <v>574.3932782806246</v>
          </cell>
          <cell r="AB117">
            <v>25.506953710047721</v>
          </cell>
          <cell r="AC117">
            <v>22.51908576814326</v>
          </cell>
          <cell r="AD117">
            <v>-70.582861538831395</v>
          </cell>
          <cell r="AE117">
            <v>500.71520440421682</v>
          </cell>
          <cell r="AF117">
            <v>-14.096408680622236</v>
          </cell>
          <cell r="AG117">
            <v>-14.096408680622236</v>
          </cell>
          <cell r="AI117">
            <v>-3.229905126533017E-2</v>
          </cell>
          <cell r="AJ117">
            <v>-207.63165170146527</v>
          </cell>
          <cell r="AK117">
            <v>-138.41909776062892</v>
          </cell>
          <cell r="AL117">
            <v>-9900</v>
          </cell>
          <cell r="AM117">
            <v>22.51908576814326</v>
          </cell>
          <cell r="AN117">
            <v>-14.096408680622236</v>
          </cell>
          <cell r="AO117">
            <v>-3.229905126533017</v>
          </cell>
          <cell r="AP117">
            <v>-9900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</row>
        <row r="118">
          <cell r="C118" t="str">
            <v>VELA MURILLO</v>
          </cell>
          <cell r="D118" t="str">
            <v>TENERIFE</v>
          </cell>
          <cell r="E118" t="str">
            <v>A</v>
          </cell>
          <cell r="F118" t="str">
            <v>NO</v>
          </cell>
          <cell r="G118">
            <v>29.798180135347927</v>
          </cell>
          <cell r="H118">
            <v>222.61488346375296</v>
          </cell>
          <cell r="I118">
            <v>1011.1427644152753</v>
          </cell>
          <cell r="J118">
            <v>1144.6696236462203</v>
          </cell>
          <cell r="K118">
            <v>196.36868486531318</v>
          </cell>
          <cell r="L118">
            <v>1044.0000961619367</v>
          </cell>
          <cell r="M118">
            <v>327.60568797855592</v>
          </cell>
          <cell r="N118">
            <v>0</v>
          </cell>
          <cell r="O118">
            <v>840.25098265479073</v>
          </cell>
          <cell r="P118">
            <v>0</v>
          </cell>
          <cell r="Q118">
            <v>0</v>
          </cell>
          <cell r="R118">
            <v>3244.9725337468299</v>
          </cell>
          <cell r="S118">
            <v>-111.55385669467384</v>
          </cell>
          <cell r="T118">
            <v>-159.16002548291323</v>
          </cell>
          <cell r="U118" t="str">
            <v>C</v>
          </cell>
          <cell r="V118">
            <v>0</v>
          </cell>
          <cell r="W118">
            <v>0</v>
          </cell>
          <cell r="X118">
            <v>1</v>
          </cell>
          <cell r="Y118">
            <v>0</v>
          </cell>
          <cell r="Z118">
            <v>165</v>
          </cell>
          <cell r="AA118">
            <v>494.17619270852117</v>
          </cell>
          <cell r="AB118">
            <v>840.25098265479073</v>
          </cell>
          <cell r="AC118">
            <v>0.58812926483841899</v>
          </cell>
          <cell r="AD118">
            <v>23.18704698712645</v>
          </cell>
          <cell r="AE118">
            <v>189.7575517170917</v>
          </cell>
          <cell r="AF118">
            <v>12.219301301745222</v>
          </cell>
          <cell r="AG118">
            <v>12.219301301745222</v>
          </cell>
          <cell r="AI118">
            <v>-3.4377442500527856E-2</v>
          </cell>
          <cell r="AJ118">
            <v>-159.16002548291323</v>
          </cell>
          <cell r="AK118">
            <v>-111.55385669467384</v>
          </cell>
          <cell r="AL118">
            <v>-9900</v>
          </cell>
          <cell r="AM118">
            <v>0.58812926483841899</v>
          </cell>
          <cell r="AN118">
            <v>12.219301301745222</v>
          </cell>
          <cell r="AO118">
            <v>-3.4377442500527855</v>
          </cell>
          <cell r="AP118">
            <v>-9900</v>
          </cell>
          <cell r="AQ118">
            <v>25</v>
          </cell>
          <cell r="AR118">
            <v>1.1096506508726112</v>
          </cell>
          <cell r="AS118">
            <v>0</v>
          </cell>
          <cell r="AT118">
            <v>0</v>
          </cell>
          <cell r="AU118">
            <v>26.109650650872609</v>
          </cell>
        </row>
        <row r="119">
          <cell r="C119" t="str">
            <v>ZARATECNO</v>
          </cell>
          <cell r="D119" t="str">
            <v>ZARAGOZA</v>
          </cell>
          <cell r="E119" t="str">
            <v>A</v>
          </cell>
          <cell r="F119" t="str">
            <v>NO</v>
          </cell>
          <cell r="G119">
            <v>74.423328885843759</v>
          </cell>
          <cell r="H119">
            <v>183.71136994699074</v>
          </cell>
          <cell r="I119">
            <v>662.04488358395542</v>
          </cell>
          <cell r="J119">
            <v>62.222783166852984</v>
          </cell>
          <cell r="K119">
            <v>0</v>
          </cell>
          <cell r="L119">
            <v>787.16959359561508</v>
          </cell>
          <cell r="M119">
            <v>0</v>
          </cell>
          <cell r="N119">
            <v>0</v>
          </cell>
          <cell r="O119">
            <v>195.23277198802785</v>
          </cell>
          <cell r="P119">
            <v>0</v>
          </cell>
          <cell r="Q119">
            <v>0</v>
          </cell>
          <cell r="R119">
            <v>4021.690526847211</v>
          </cell>
          <cell r="S119">
            <v>41.728270407366004</v>
          </cell>
          <cell r="T119">
            <v>29.251259120358686</v>
          </cell>
          <cell r="U119" t="str">
            <v>B</v>
          </cell>
          <cell r="V119">
            <v>0</v>
          </cell>
          <cell r="W119">
            <v>1</v>
          </cell>
          <cell r="X119">
            <v>0</v>
          </cell>
          <cell r="Y119">
            <v>0</v>
          </cell>
          <cell r="Z119">
            <v>163</v>
          </cell>
          <cell r="AA119">
            <v>-74.423328885843759</v>
          </cell>
          <cell r="AB119">
            <v>195.23277198802785</v>
          </cell>
          <cell r="AC119">
            <v>0</v>
          </cell>
          <cell r="AD119">
            <v>133.00998882117486</v>
          </cell>
          <cell r="AE119">
            <v>58.586659935331113</v>
          </cell>
          <cell r="AF119">
            <v>227.0311858842839</v>
          </cell>
          <cell r="AG119">
            <v>227.0311858842839</v>
          </cell>
          <cell r="AI119">
            <v>1.0375803441066542E-2</v>
          </cell>
          <cell r="AJ119">
            <v>29.251259120358686</v>
          </cell>
          <cell r="AK119">
            <v>41.728270407366004</v>
          </cell>
          <cell r="AL119">
            <v>70.099380671179617</v>
          </cell>
          <cell r="AM119">
            <v>0</v>
          </cell>
          <cell r="AN119">
            <v>227.0311858842839</v>
          </cell>
          <cell r="AO119">
            <v>1.0375803441066542</v>
          </cell>
          <cell r="AP119">
            <v>70.099380671179617</v>
          </cell>
          <cell r="AQ119">
            <v>25</v>
          </cell>
          <cell r="AR119">
            <v>20</v>
          </cell>
          <cell r="AS119">
            <v>0.25053562737769486</v>
          </cell>
          <cell r="AT119">
            <v>15</v>
          </cell>
          <cell r="AU119">
            <v>60.250535627377694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ia"/>
      <sheetName val="HOJA DE DATOS"/>
      <sheetName val="DATOS INDIVIDUALES"/>
      <sheetName val="riassunto"/>
    </sheetNames>
    <sheetDataSet>
      <sheetData sheetId="0"/>
      <sheetData sheetId="1">
        <row r="6">
          <cell r="C6">
            <v>1</v>
          </cell>
          <cell r="D6" t="str">
            <v>A.CAMPOS</v>
          </cell>
          <cell r="E6" t="str">
            <v>ALCIRA</v>
          </cell>
          <cell r="F6">
            <v>150000</v>
          </cell>
          <cell r="G6">
            <v>33000</v>
          </cell>
          <cell r="H6">
            <v>45000</v>
          </cell>
          <cell r="I6">
            <v>228000</v>
          </cell>
          <cell r="K6">
            <v>11000</v>
          </cell>
          <cell r="L6">
            <v>16000</v>
          </cell>
          <cell r="M6">
            <v>30000</v>
          </cell>
          <cell r="N6">
            <v>12000</v>
          </cell>
          <cell r="P6">
            <v>297000</v>
          </cell>
          <cell r="Q6">
            <v>297000</v>
          </cell>
        </row>
        <row r="7">
          <cell r="C7">
            <v>2</v>
          </cell>
          <cell r="D7" t="str">
            <v>AGUIAUTO</v>
          </cell>
          <cell r="E7" t="str">
            <v>TERUEL ALCAÑIZ</v>
          </cell>
          <cell r="F7">
            <v>75000</v>
          </cell>
          <cell r="G7">
            <v>25000</v>
          </cell>
          <cell r="H7">
            <v>0</v>
          </cell>
          <cell r="I7">
            <v>100000</v>
          </cell>
          <cell r="J7">
            <v>25000</v>
          </cell>
          <cell r="K7">
            <v>7000</v>
          </cell>
          <cell r="L7">
            <v>10000</v>
          </cell>
          <cell r="M7">
            <v>15000</v>
          </cell>
          <cell r="N7">
            <v>0</v>
          </cell>
          <cell r="P7">
            <v>157000</v>
          </cell>
          <cell r="Q7">
            <v>157000</v>
          </cell>
        </row>
        <row r="8">
          <cell r="C8">
            <v>3</v>
          </cell>
          <cell r="D8" t="str">
            <v>ALFAVI</v>
          </cell>
          <cell r="E8" t="str">
            <v>ERANDIO</v>
          </cell>
          <cell r="F8">
            <v>0</v>
          </cell>
          <cell r="G8">
            <v>0</v>
          </cell>
          <cell r="H8">
            <v>158000</v>
          </cell>
          <cell r="I8">
            <v>158000</v>
          </cell>
          <cell r="K8">
            <v>5000</v>
          </cell>
          <cell r="L8">
            <v>7000</v>
          </cell>
          <cell r="M8">
            <v>18000</v>
          </cell>
          <cell r="N8">
            <v>0</v>
          </cell>
          <cell r="O8">
            <v>15000</v>
          </cell>
          <cell r="P8">
            <v>203000</v>
          </cell>
          <cell r="Q8">
            <v>203000</v>
          </cell>
        </row>
        <row r="9">
          <cell r="C9">
            <v>4</v>
          </cell>
          <cell r="D9" t="str">
            <v>ALFIBIZA</v>
          </cell>
          <cell r="E9" t="str">
            <v>IBIZA</v>
          </cell>
          <cell r="F9">
            <v>0</v>
          </cell>
          <cell r="G9">
            <v>0</v>
          </cell>
          <cell r="H9">
            <v>20000</v>
          </cell>
          <cell r="I9">
            <v>20000</v>
          </cell>
          <cell r="K9">
            <v>2000</v>
          </cell>
          <cell r="L9">
            <v>3000</v>
          </cell>
          <cell r="M9">
            <v>8000</v>
          </cell>
          <cell r="N9">
            <v>0</v>
          </cell>
          <cell r="O9">
            <v>3000</v>
          </cell>
          <cell r="P9">
            <v>36000</v>
          </cell>
          <cell r="Q9">
            <v>36000</v>
          </cell>
        </row>
        <row r="10">
          <cell r="C10">
            <v>5</v>
          </cell>
          <cell r="D10" t="str">
            <v>ALIMOTOR</v>
          </cell>
          <cell r="E10" t="str">
            <v>ALICANTE</v>
          </cell>
          <cell r="F10">
            <v>130000</v>
          </cell>
          <cell r="G10">
            <v>0</v>
          </cell>
          <cell r="H10">
            <v>143000</v>
          </cell>
          <cell r="I10">
            <v>273000</v>
          </cell>
          <cell r="K10">
            <v>10000</v>
          </cell>
          <cell r="L10">
            <v>15000</v>
          </cell>
          <cell r="M10">
            <v>36000</v>
          </cell>
          <cell r="N10">
            <v>0</v>
          </cell>
          <cell r="O10">
            <v>10000</v>
          </cell>
          <cell r="P10">
            <v>344000</v>
          </cell>
          <cell r="Q10">
            <v>344000</v>
          </cell>
        </row>
        <row r="11">
          <cell r="C11">
            <v>6</v>
          </cell>
          <cell r="D11" t="str">
            <v>ALONSO VARA M.</v>
          </cell>
          <cell r="E11" t="str">
            <v>ZAMORA</v>
          </cell>
          <cell r="F11">
            <v>65000</v>
          </cell>
          <cell r="G11">
            <v>20000</v>
          </cell>
          <cell r="H11">
            <v>25000</v>
          </cell>
          <cell r="I11">
            <v>110000</v>
          </cell>
          <cell r="J11">
            <v>25000</v>
          </cell>
          <cell r="K11">
            <v>8000</v>
          </cell>
          <cell r="L11">
            <v>13000</v>
          </cell>
          <cell r="M11">
            <v>31000</v>
          </cell>
          <cell r="N11">
            <v>0</v>
          </cell>
          <cell r="P11">
            <v>187000</v>
          </cell>
          <cell r="Q11">
            <v>187000</v>
          </cell>
        </row>
        <row r="12">
          <cell r="C12">
            <v>7</v>
          </cell>
          <cell r="D12" t="str">
            <v>ANDALCAR MOTOR</v>
          </cell>
          <cell r="E12" t="str">
            <v>CORDOBA</v>
          </cell>
          <cell r="F12">
            <v>500000</v>
          </cell>
          <cell r="G12">
            <v>100000</v>
          </cell>
          <cell r="H12">
            <v>242000</v>
          </cell>
          <cell r="I12">
            <v>842000</v>
          </cell>
          <cell r="K12">
            <v>20000</v>
          </cell>
          <cell r="L12">
            <v>30000</v>
          </cell>
          <cell r="M12">
            <v>85000</v>
          </cell>
          <cell r="N12">
            <v>30000</v>
          </cell>
          <cell r="O12">
            <v>50000</v>
          </cell>
          <cell r="P12">
            <v>1057000</v>
          </cell>
          <cell r="Q12">
            <v>1057000</v>
          </cell>
        </row>
        <row r="13">
          <cell r="C13">
            <v>8</v>
          </cell>
          <cell r="D13" t="str">
            <v>A.NAVARRO</v>
          </cell>
          <cell r="E13" t="str">
            <v>LORCA</v>
          </cell>
          <cell r="F13">
            <v>90000</v>
          </cell>
          <cell r="G13">
            <v>0</v>
          </cell>
          <cell r="H13">
            <v>0</v>
          </cell>
          <cell r="I13">
            <v>90000</v>
          </cell>
          <cell r="K13">
            <v>9000</v>
          </cell>
          <cell r="L13">
            <v>13000</v>
          </cell>
          <cell r="M13">
            <v>15000</v>
          </cell>
          <cell r="N13">
            <v>20000</v>
          </cell>
          <cell r="O13">
            <v>20000</v>
          </cell>
          <cell r="P13">
            <v>167000</v>
          </cell>
          <cell r="Q13">
            <v>167000</v>
          </cell>
        </row>
        <row r="14">
          <cell r="C14">
            <v>9</v>
          </cell>
          <cell r="D14" t="str">
            <v>APV MOTOR</v>
          </cell>
          <cell r="E14" t="str">
            <v>SANTIAGO DE COMPOSTELA</v>
          </cell>
          <cell r="F14">
            <v>0</v>
          </cell>
          <cell r="G14">
            <v>0</v>
          </cell>
          <cell r="H14">
            <v>57000</v>
          </cell>
          <cell r="I14">
            <v>57000</v>
          </cell>
          <cell r="K14">
            <v>3000</v>
          </cell>
          <cell r="L14">
            <v>5000</v>
          </cell>
          <cell r="M14">
            <v>12000</v>
          </cell>
          <cell r="N14">
            <v>6000</v>
          </cell>
          <cell r="O14">
            <v>10000</v>
          </cell>
          <cell r="P14">
            <v>93000</v>
          </cell>
          <cell r="Q14">
            <v>93000</v>
          </cell>
        </row>
        <row r="15">
          <cell r="C15">
            <v>10</v>
          </cell>
          <cell r="D15" t="str">
            <v>ARANZAUTO</v>
          </cell>
          <cell r="E15" t="str">
            <v>ZARAGOZA</v>
          </cell>
          <cell r="F15">
            <v>500000</v>
          </cell>
          <cell r="G15">
            <v>0</v>
          </cell>
          <cell r="H15">
            <v>0</v>
          </cell>
          <cell r="I15">
            <v>500000</v>
          </cell>
          <cell r="K15">
            <v>34000</v>
          </cell>
          <cell r="L15">
            <v>51000</v>
          </cell>
          <cell r="M15">
            <v>40000</v>
          </cell>
          <cell r="N15">
            <v>15000</v>
          </cell>
          <cell r="P15">
            <v>640000</v>
          </cell>
          <cell r="Q15">
            <v>640000</v>
          </cell>
        </row>
        <row r="16">
          <cell r="C16">
            <v>11</v>
          </cell>
          <cell r="D16" t="str">
            <v>ASCAUTO</v>
          </cell>
          <cell r="E16" t="str">
            <v>MOSTOLES</v>
          </cell>
          <cell r="F16">
            <v>275000</v>
          </cell>
          <cell r="G16">
            <v>50000</v>
          </cell>
          <cell r="H16">
            <v>83000</v>
          </cell>
          <cell r="I16">
            <v>408000</v>
          </cell>
          <cell r="K16">
            <v>22000</v>
          </cell>
          <cell r="L16">
            <v>34000</v>
          </cell>
          <cell r="M16">
            <v>125000</v>
          </cell>
          <cell r="N16">
            <v>20000</v>
          </cell>
          <cell r="O16">
            <v>6000</v>
          </cell>
          <cell r="P16">
            <v>615000</v>
          </cell>
          <cell r="Q16">
            <v>615000</v>
          </cell>
        </row>
        <row r="17">
          <cell r="C17">
            <v>12</v>
          </cell>
          <cell r="D17" t="str">
            <v>AUTO BRAVA</v>
          </cell>
          <cell r="E17" t="str">
            <v>BLANES</v>
          </cell>
          <cell r="F17">
            <v>110000</v>
          </cell>
          <cell r="G17">
            <v>0</v>
          </cell>
          <cell r="H17">
            <v>38000</v>
          </cell>
          <cell r="I17">
            <v>148000</v>
          </cell>
          <cell r="J17">
            <v>40000</v>
          </cell>
          <cell r="K17">
            <v>10000</v>
          </cell>
          <cell r="L17">
            <v>15000</v>
          </cell>
          <cell r="M17">
            <v>28000</v>
          </cell>
          <cell r="N17">
            <v>5000</v>
          </cell>
          <cell r="P17">
            <v>246000</v>
          </cell>
          <cell r="Q17">
            <v>246000</v>
          </cell>
        </row>
        <row r="18">
          <cell r="C18">
            <v>13</v>
          </cell>
          <cell r="D18" t="str">
            <v>AUTO FORMULA</v>
          </cell>
          <cell r="E18" t="str">
            <v>BURGOS</v>
          </cell>
          <cell r="F18">
            <v>150000</v>
          </cell>
          <cell r="G18">
            <v>0</v>
          </cell>
          <cell r="H18">
            <v>53000</v>
          </cell>
          <cell r="I18">
            <v>203000</v>
          </cell>
          <cell r="K18">
            <v>16000</v>
          </cell>
          <cell r="L18">
            <v>25000</v>
          </cell>
          <cell r="M18">
            <v>40000</v>
          </cell>
          <cell r="N18">
            <v>10000</v>
          </cell>
          <cell r="O18">
            <v>15000</v>
          </cell>
          <cell r="P18">
            <v>309000</v>
          </cell>
          <cell r="Q18">
            <v>309000</v>
          </cell>
        </row>
        <row r="19">
          <cell r="C19">
            <v>14</v>
          </cell>
          <cell r="D19" t="str">
            <v>AUTOLATINA</v>
          </cell>
          <cell r="E19" t="str">
            <v>PALMA DE MALLORCA</v>
          </cell>
          <cell r="F19">
            <v>400000</v>
          </cell>
          <cell r="G19">
            <v>65000</v>
          </cell>
          <cell r="H19">
            <v>72000</v>
          </cell>
          <cell r="I19">
            <v>537000</v>
          </cell>
          <cell r="K19">
            <v>39000</v>
          </cell>
          <cell r="L19">
            <v>58000</v>
          </cell>
          <cell r="M19">
            <v>100000</v>
          </cell>
          <cell r="N19">
            <v>20000</v>
          </cell>
          <cell r="P19">
            <v>754000</v>
          </cell>
          <cell r="Q19">
            <v>700000</v>
          </cell>
          <cell r="R19">
            <v>20000</v>
          </cell>
        </row>
        <row r="20">
          <cell r="C20">
            <v>15</v>
          </cell>
          <cell r="D20" t="str">
            <v>AUTO 88</v>
          </cell>
          <cell r="E20" t="str">
            <v>BARCELONA</v>
          </cell>
          <cell r="F20">
            <v>324000</v>
          </cell>
          <cell r="G20">
            <v>71000</v>
          </cell>
          <cell r="H20">
            <v>136000</v>
          </cell>
          <cell r="I20">
            <v>531000</v>
          </cell>
          <cell r="K20">
            <v>37000</v>
          </cell>
          <cell r="L20">
            <v>55000</v>
          </cell>
          <cell r="M20">
            <v>135000</v>
          </cell>
          <cell r="N20">
            <v>35000</v>
          </cell>
          <cell r="O20">
            <v>10000</v>
          </cell>
          <cell r="P20">
            <v>803000</v>
          </cell>
          <cell r="Q20">
            <v>700000</v>
          </cell>
          <cell r="R20">
            <v>40000</v>
          </cell>
        </row>
        <row r="21">
          <cell r="C21">
            <v>16</v>
          </cell>
          <cell r="D21" t="str">
            <v>AUTO PUNTO</v>
          </cell>
          <cell r="E21" t="str">
            <v>JAEN</v>
          </cell>
          <cell r="F21">
            <v>130000</v>
          </cell>
          <cell r="G21">
            <v>0</v>
          </cell>
          <cell r="H21">
            <v>72000</v>
          </cell>
          <cell r="I21">
            <v>202000</v>
          </cell>
          <cell r="K21">
            <v>10000</v>
          </cell>
          <cell r="L21">
            <v>15000</v>
          </cell>
          <cell r="M21">
            <v>30000</v>
          </cell>
          <cell r="N21">
            <v>10000</v>
          </cell>
          <cell r="O21">
            <v>10000</v>
          </cell>
          <cell r="P21">
            <v>277000</v>
          </cell>
          <cell r="Q21">
            <v>277000</v>
          </cell>
        </row>
        <row r="22">
          <cell r="C22">
            <v>17</v>
          </cell>
          <cell r="D22" t="str">
            <v>AUTO REC UNION</v>
          </cell>
          <cell r="E22" t="str">
            <v>MAHON</v>
          </cell>
          <cell r="F22">
            <v>100000</v>
          </cell>
          <cell r="G22">
            <v>0</v>
          </cell>
          <cell r="H22">
            <v>25000</v>
          </cell>
          <cell r="I22">
            <v>125000</v>
          </cell>
          <cell r="K22">
            <v>15000</v>
          </cell>
          <cell r="L22">
            <v>23000</v>
          </cell>
          <cell r="M22">
            <v>21500</v>
          </cell>
          <cell r="N22">
            <v>20000</v>
          </cell>
          <cell r="P22">
            <v>204500</v>
          </cell>
          <cell r="Q22">
            <v>204500</v>
          </cell>
        </row>
        <row r="23">
          <cell r="C23">
            <v>18</v>
          </cell>
          <cell r="D23" t="str">
            <v>AUTO SALON ALMERIA</v>
          </cell>
          <cell r="E23" t="str">
            <v>ALMERIA</v>
          </cell>
        </row>
        <row r="24">
          <cell r="C24">
            <v>19</v>
          </cell>
          <cell r="D24" t="str">
            <v>A.V.MANACOR</v>
          </cell>
          <cell r="E24" t="str">
            <v>MANACOR</v>
          </cell>
          <cell r="F24">
            <v>250000</v>
          </cell>
          <cell r="G24">
            <v>40000</v>
          </cell>
          <cell r="H24">
            <v>50000</v>
          </cell>
          <cell r="I24">
            <v>340000</v>
          </cell>
          <cell r="K24">
            <v>40000</v>
          </cell>
          <cell r="L24">
            <v>59000</v>
          </cell>
          <cell r="M24">
            <v>39000</v>
          </cell>
          <cell r="N24">
            <v>10000</v>
          </cell>
          <cell r="P24">
            <v>488000</v>
          </cell>
          <cell r="Q24">
            <v>488000</v>
          </cell>
        </row>
        <row r="25">
          <cell r="C25">
            <v>20</v>
          </cell>
          <cell r="D25" t="str">
            <v>AUTOACEVEDO</v>
          </cell>
          <cell r="E25" t="str">
            <v>PONFERRADA</v>
          </cell>
          <cell r="F25">
            <v>125000</v>
          </cell>
          <cell r="G25">
            <v>0</v>
          </cell>
          <cell r="H25">
            <v>25000</v>
          </cell>
          <cell r="I25">
            <v>150000</v>
          </cell>
          <cell r="K25">
            <v>19000</v>
          </cell>
          <cell r="L25">
            <v>28000</v>
          </cell>
          <cell r="M25">
            <v>35000</v>
          </cell>
          <cell r="N25">
            <v>5000</v>
          </cell>
          <cell r="P25">
            <v>237000</v>
          </cell>
          <cell r="Q25">
            <v>237000</v>
          </cell>
        </row>
        <row r="26">
          <cell r="C26">
            <v>21</v>
          </cell>
          <cell r="D26" t="str">
            <v>AUTOAN</v>
          </cell>
          <cell r="E26" t="str">
            <v>S. SEBASTIAN DE LOS REYES</v>
          </cell>
          <cell r="F26">
            <v>165000</v>
          </cell>
          <cell r="G26">
            <v>0</v>
          </cell>
          <cell r="H26">
            <v>42000</v>
          </cell>
          <cell r="I26">
            <v>207000</v>
          </cell>
          <cell r="K26">
            <v>28000</v>
          </cell>
          <cell r="L26">
            <v>43000</v>
          </cell>
          <cell r="M26">
            <v>57500</v>
          </cell>
          <cell r="N26">
            <v>15000</v>
          </cell>
          <cell r="O26">
            <v>10000</v>
          </cell>
          <cell r="P26">
            <v>360500</v>
          </cell>
          <cell r="Q26">
            <v>360500</v>
          </cell>
        </row>
        <row r="27">
          <cell r="C27">
            <v>22</v>
          </cell>
          <cell r="D27" t="str">
            <v>AUTOJUCAR</v>
          </cell>
          <cell r="E27" t="str">
            <v>VALLADOLID</v>
          </cell>
          <cell r="F27">
            <v>170000</v>
          </cell>
          <cell r="G27">
            <v>50000</v>
          </cell>
          <cell r="H27">
            <v>70000</v>
          </cell>
          <cell r="I27">
            <v>290000</v>
          </cell>
          <cell r="K27">
            <v>21000</v>
          </cell>
          <cell r="L27">
            <v>31000</v>
          </cell>
          <cell r="M27">
            <v>56000</v>
          </cell>
          <cell r="N27">
            <v>0</v>
          </cell>
          <cell r="P27">
            <v>398000</v>
          </cell>
          <cell r="Q27">
            <v>398000</v>
          </cell>
        </row>
        <row r="28">
          <cell r="C28">
            <v>23</v>
          </cell>
          <cell r="D28" t="str">
            <v>AUTOMATEO</v>
          </cell>
          <cell r="E28" t="str">
            <v>SORIA</v>
          </cell>
          <cell r="F28">
            <v>45000</v>
          </cell>
          <cell r="G28">
            <v>15000</v>
          </cell>
          <cell r="H28">
            <v>15000</v>
          </cell>
          <cell r="I28">
            <v>75000</v>
          </cell>
          <cell r="K28">
            <v>6000</v>
          </cell>
          <cell r="L28">
            <v>8000</v>
          </cell>
          <cell r="M28">
            <v>15000</v>
          </cell>
          <cell r="N28">
            <v>0</v>
          </cell>
          <cell r="P28">
            <v>104000</v>
          </cell>
          <cell r="Q28">
            <v>104000</v>
          </cell>
        </row>
        <row r="29">
          <cell r="C29">
            <v>24</v>
          </cell>
          <cell r="D29" t="str">
            <v>A.MEDITERRANEO</v>
          </cell>
          <cell r="E29" t="str">
            <v>ALBACETE</v>
          </cell>
          <cell r="F29">
            <v>130000</v>
          </cell>
          <cell r="G29">
            <v>35000</v>
          </cell>
          <cell r="H29">
            <v>57000</v>
          </cell>
          <cell r="I29">
            <v>222000</v>
          </cell>
          <cell r="K29">
            <v>5000</v>
          </cell>
          <cell r="L29">
            <v>8000</v>
          </cell>
          <cell r="M29">
            <v>35000</v>
          </cell>
          <cell r="N29">
            <v>10000</v>
          </cell>
          <cell r="O29">
            <v>20000</v>
          </cell>
          <cell r="P29">
            <v>300000</v>
          </cell>
          <cell r="Q29">
            <v>255000</v>
          </cell>
          <cell r="R29">
            <v>30000</v>
          </cell>
        </row>
        <row r="30">
          <cell r="C30">
            <v>25</v>
          </cell>
          <cell r="D30" t="str">
            <v>AUTOM.MACHUCA</v>
          </cell>
          <cell r="E30" t="str">
            <v>TALAVERA DE LA REINA</v>
          </cell>
          <cell r="F30">
            <v>101000</v>
          </cell>
          <cell r="G30">
            <v>27000</v>
          </cell>
          <cell r="H30">
            <v>0</v>
          </cell>
          <cell r="I30">
            <v>128000</v>
          </cell>
          <cell r="K30">
            <v>0</v>
          </cell>
          <cell r="L30">
            <v>15000</v>
          </cell>
          <cell r="M30">
            <v>35000</v>
          </cell>
          <cell r="N30">
            <v>12000</v>
          </cell>
          <cell r="O30">
            <v>20000</v>
          </cell>
          <cell r="P30">
            <v>210000</v>
          </cell>
          <cell r="Q30">
            <v>210000</v>
          </cell>
        </row>
        <row r="31">
          <cell r="C31">
            <v>26</v>
          </cell>
          <cell r="D31" t="str">
            <v>AUTOM.CARNICER</v>
          </cell>
          <cell r="E31" t="str">
            <v>COSLADA TORREJON</v>
          </cell>
          <cell r="F31">
            <v>200000</v>
          </cell>
          <cell r="G31">
            <v>30000</v>
          </cell>
          <cell r="H31">
            <v>0</v>
          </cell>
          <cell r="I31">
            <v>230000</v>
          </cell>
          <cell r="J31">
            <v>50000</v>
          </cell>
          <cell r="K31">
            <v>20000</v>
          </cell>
          <cell r="L31">
            <v>30000</v>
          </cell>
          <cell r="M31">
            <v>66000</v>
          </cell>
          <cell r="N31">
            <v>40000</v>
          </cell>
          <cell r="P31">
            <v>436000</v>
          </cell>
          <cell r="Q31">
            <v>436000</v>
          </cell>
        </row>
        <row r="32">
          <cell r="C32">
            <v>27</v>
          </cell>
          <cell r="D32" t="str">
            <v>AU. BLANCO</v>
          </cell>
          <cell r="E32" t="str">
            <v>VILLALBA</v>
          </cell>
          <cell r="F32">
            <v>0</v>
          </cell>
          <cell r="G32">
            <v>0</v>
          </cell>
          <cell r="H32">
            <v>96000</v>
          </cell>
          <cell r="I32">
            <v>96000</v>
          </cell>
          <cell r="K32">
            <v>1000</v>
          </cell>
          <cell r="L32">
            <v>6000</v>
          </cell>
          <cell r="M32">
            <v>25000</v>
          </cell>
          <cell r="N32">
            <v>20000</v>
          </cell>
          <cell r="O32">
            <v>10000</v>
          </cell>
          <cell r="P32">
            <v>158000</v>
          </cell>
          <cell r="Q32">
            <v>158000</v>
          </cell>
        </row>
        <row r="33">
          <cell r="C33">
            <v>28</v>
          </cell>
          <cell r="D33" t="str">
            <v>AU CERVERA</v>
          </cell>
          <cell r="E33" t="str">
            <v>AVILA</v>
          </cell>
          <cell r="F33">
            <v>80000</v>
          </cell>
          <cell r="G33">
            <v>20000</v>
          </cell>
          <cell r="H33">
            <v>35000</v>
          </cell>
          <cell r="I33">
            <v>135000</v>
          </cell>
          <cell r="K33">
            <v>10000</v>
          </cell>
          <cell r="L33">
            <v>14000</v>
          </cell>
          <cell r="M33">
            <v>22000</v>
          </cell>
          <cell r="N33">
            <v>5000</v>
          </cell>
          <cell r="P33">
            <v>186000</v>
          </cell>
          <cell r="Q33">
            <v>186000</v>
          </cell>
        </row>
        <row r="34">
          <cell r="C34">
            <v>29</v>
          </cell>
          <cell r="D34" t="str">
            <v>AUTOMOVILES J.J.</v>
          </cell>
          <cell r="E34" t="str">
            <v>LEON</v>
          </cell>
          <cell r="F34">
            <v>0</v>
          </cell>
          <cell r="G34">
            <v>0</v>
          </cell>
          <cell r="H34">
            <v>46000</v>
          </cell>
          <cell r="I34">
            <v>46000</v>
          </cell>
          <cell r="K34">
            <v>6000</v>
          </cell>
          <cell r="L34">
            <v>9000</v>
          </cell>
          <cell r="M34">
            <v>12000</v>
          </cell>
          <cell r="N34">
            <v>0</v>
          </cell>
          <cell r="O34">
            <v>6000</v>
          </cell>
          <cell r="P34">
            <v>79000</v>
          </cell>
          <cell r="Q34">
            <v>79000</v>
          </cell>
        </row>
        <row r="35">
          <cell r="C35">
            <v>30</v>
          </cell>
          <cell r="D35" t="str">
            <v>AUTOM.NEMESIO</v>
          </cell>
          <cell r="E35" t="str">
            <v>TORRENTE</v>
          </cell>
          <cell r="F35">
            <v>230000</v>
          </cell>
          <cell r="G35">
            <v>25000</v>
          </cell>
          <cell r="H35">
            <v>80000</v>
          </cell>
          <cell r="I35">
            <v>335000</v>
          </cell>
          <cell r="K35">
            <v>26000</v>
          </cell>
          <cell r="L35">
            <v>40000</v>
          </cell>
          <cell r="M35">
            <v>73000</v>
          </cell>
          <cell r="N35">
            <v>20000</v>
          </cell>
          <cell r="O35">
            <v>10000</v>
          </cell>
          <cell r="P35">
            <v>504000</v>
          </cell>
          <cell r="Q35">
            <v>504000</v>
          </cell>
        </row>
        <row r="36">
          <cell r="C36">
            <v>31</v>
          </cell>
          <cell r="D36" t="str">
            <v>AUTOS AISA</v>
          </cell>
          <cell r="E36" t="str">
            <v>BILBAO</v>
          </cell>
          <cell r="F36">
            <v>102000</v>
          </cell>
          <cell r="G36">
            <v>50000</v>
          </cell>
          <cell r="H36">
            <v>0</v>
          </cell>
          <cell r="I36">
            <v>152000</v>
          </cell>
          <cell r="K36">
            <v>19000</v>
          </cell>
          <cell r="L36">
            <v>28000</v>
          </cell>
          <cell r="M36">
            <v>36000</v>
          </cell>
          <cell r="N36">
            <v>5000</v>
          </cell>
          <cell r="P36">
            <v>240000</v>
          </cell>
          <cell r="Q36">
            <v>240000</v>
          </cell>
        </row>
        <row r="37">
          <cell r="C37">
            <v>32</v>
          </cell>
          <cell r="D37" t="str">
            <v>AUTOS MARTORELL</v>
          </cell>
          <cell r="E37" t="str">
            <v>FELANITX</v>
          </cell>
          <cell r="F37">
            <v>125000</v>
          </cell>
          <cell r="G37">
            <v>0</v>
          </cell>
          <cell r="H37">
            <v>25000</v>
          </cell>
          <cell r="I37">
            <v>150000</v>
          </cell>
          <cell r="K37">
            <v>10000</v>
          </cell>
          <cell r="L37">
            <v>16000</v>
          </cell>
          <cell r="M37">
            <v>25000</v>
          </cell>
          <cell r="N37">
            <v>5000</v>
          </cell>
          <cell r="P37">
            <v>206000</v>
          </cell>
          <cell r="Q37">
            <v>206000</v>
          </cell>
        </row>
        <row r="38">
          <cell r="C38">
            <v>33</v>
          </cell>
          <cell r="D38" t="str">
            <v>BALMES INTERM.</v>
          </cell>
          <cell r="E38" t="str">
            <v>IGUALADA</v>
          </cell>
          <cell r="F38">
            <v>80000</v>
          </cell>
          <cell r="G38">
            <v>0</v>
          </cell>
          <cell r="H38">
            <v>33000</v>
          </cell>
          <cell r="I38">
            <v>113000</v>
          </cell>
          <cell r="K38">
            <v>7000</v>
          </cell>
          <cell r="L38">
            <v>10000</v>
          </cell>
          <cell r="M38">
            <v>18000</v>
          </cell>
          <cell r="N38">
            <v>0</v>
          </cell>
          <cell r="P38">
            <v>148000</v>
          </cell>
          <cell r="Q38">
            <v>148000</v>
          </cell>
        </row>
        <row r="39">
          <cell r="C39">
            <v>34</v>
          </cell>
          <cell r="D39" t="str">
            <v>CARMAUTO</v>
          </cell>
          <cell r="E39" t="str">
            <v>MALAGA</v>
          </cell>
          <cell r="F39">
            <v>0</v>
          </cell>
          <cell r="G39">
            <v>0</v>
          </cell>
          <cell r="H39">
            <v>192000</v>
          </cell>
          <cell r="I39">
            <v>192000</v>
          </cell>
          <cell r="K39">
            <v>7000</v>
          </cell>
          <cell r="L39">
            <v>20000</v>
          </cell>
          <cell r="M39">
            <v>25000</v>
          </cell>
          <cell r="N39">
            <v>20000</v>
          </cell>
          <cell r="O39">
            <v>12000</v>
          </cell>
          <cell r="P39">
            <v>276000</v>
          </cell>
          <cell r="Q39">
            <v>276000</v>
          </cell>
        </row>
        <row r="40">
          <cell r="C40">
            <v>35</v>
          </cell>
          <cell r="D40" t="str">
            <v>CARRERA MOTOR</v>
          </cell>
          <cell r="E40" t="str">
            <v>SANTANDER</v>
          </cell>
          <cell r="F40">
            <v>250000</v>
          </cell>
          <cell r="G40">
            <v>35000</v>
          </cell>
          <cell r="H40">
            <v>84000</v>
          </cell>
          <cell r="I40">
            <v>369000</v>
          </cell>
          <cell r="K40">
            <v>42000</v>
          </cell>
          <cell r="L40">
            <v>63000</v>
          </cell>
          <cell r="M40">
            <v>35000</v>
          </cell>
          <cell r="N40">
            <v>15000</v>
          </cell>
          <cell r="O40">
            <v>20000</v>
          </cell>
          <cell r="P40">
            <v>544000</v>
          </cell>
          <cell r="Q40">
            <v>544000</v>
          </cell>
        </row>
        <row r="41">
          <cell r="C41">
            <v>36</v>
          </cell>
          <cell r="D41" t="str">
            <v>CIAMSA</v>
          </cell>
          <cell r="E41" t="str">
            <v>MELILLA</v>
          </cell>
          <cell r="F41">
            <v>25000</v>
          </cell>
          <cell r="G41">
            <v>15000</v>
          </cell>
          <cell r="H41">
            <v>20000</v>
          </cell>
          <cell r="I41">
            <v>60000</v>
          </cell>
          <cell r="K41">
            <v>0</v>
          </cell>
          <cell r="L41">
            <v>19000</v>
          </cell>
          <cell r="M41">
            <v>8000</v>
          </cell>
          <cell r="N41">
            <v>0</v>
          </cell>
          <cell r="P41">
            <v>87000</v>
          </cell>
          <cell r="Q41">
            <v>87000</v>
          </cell>
        </row>
        <row r="42">
          <cell r="C42">
            <v>37</v>
          </cell>
          <cell r="D42" t="str">
            <v>CIBRAUTO</v>
          </cell>
          <cell r="E42" t="str">
            <v>ORENSE</v>
          </cell>
          <cell r="F42">
            <v>170000</v>
          </cell>
          <cell r="G42">
            <v>30000</v>
          </cell>
          <cell r="H42">
            <v>50000</v>
          </cell>
          <cell r="I42">
            <v>250000</v>
          </cell>
          <cell r="K42">
            <v>18000</v>
          </cell>
          <cell r="L42">
            <v>27000</v>
          </cell>
          <cell r="M42">
            <v>43000</v>
          </cell>
          <cell r="N42">
            <v>6000</v>
          </cell>
          <cell r="P42">
            <v>344000</v>
          </cell>
          <cell r="Q42">
            <v>344000</v>
          </cell>
        </row>
        <row r="43">
          <cell r="C43">
            <v>38</v>
          </cell>
          <cell r="D43" t="str">
            <v>CIFISA</v>
          </cell>
          <cell r="E43" t="str">
            <v>CIUDAD REAL</v>
          </cell>
          <cell r="F43">
            <v>142000</v>
          </cell>
          <cell r="G43">
            <v>0</v>
          </cell>
          <cell r="H43">
            <v>0</v>
          </cell>
          <cell r="I43">
            <v>142000</v>
          </cell>
          <cell r="K43">
            <v>4000</v>
          </cell>
          <cell r="L43">
            <v>6000</v>
          </cell>
          <cell r="M43">
            <v>21000</v>
          </cell>
          <cell r="N43">
            <v>20000</v>
          </cell>
          <cell r="O43">
            <v>15000</v>
          </cell>
          <cell r="P43">
            <v>208000</v>
          </cell>
          <cell r="Q43">
            <v>208000</v>
          </cell>
        </row>
        <row r="44">
          <cell r="C44">
            <v>39</v>
          </cell>
          <cell r="D44" t="str">
            <v>COFIA</v>
          </cell>
          <cell r="E44" t="str">
            <v>AVILES</v>
          </cell>
          <cell r="F44">
            <v>125000</v>
          </cell>
          <cell r="G44">
            <v>0</v>
          </cell>
          <cell r="H44">
            <v>40000</v>
          </cell>
          <cell r="I44">
            <v>165000</v>
          </cell>
          <cell r="K44">
            <v>22000</v>
          </cell>
          <cell r="L44">
            <v>32000</v>
          </cell>
          <cell r="M44">
            <v>34000</v>
          </cell>
          <cell r="N44">
            <v>8000</v>
          </cell>
          <cell r="O44">
            <v>15000</v>
          </cell>
          <cell r="P44">
            <v>276000</v>
          </cell>
          <cell r="Q44">
            <v>276000</v>
          </cell>
        </row>
        <row r="45">
          <cell r="C45">
            <v>40</v>
          </cell>
          <cell r="D45" t="str">
            <v>CIAL OSCENSE</v>
          </cell>
          <cell r="E45" t="str">
            <v>HUESCA</v>
          </cell>
          <cell r="F45">
            <v>200000</v>
          </cell>
          <cell r="G45">
            <v>30000</v>
          </cell>
          <cell r="H45">
            <v>50000</v>
          </cell>
          <cell r="I45">
            <v>280000</v>
          </cell>
          <cell r="K45">
            <v>20000</v>
          </cell>
          <cell r="L45">
            <v>30000</v>
          </cell>
          <cell r="M45">
            <v>42000</v>
          </cell>
          <cell r="N45">
            <v>5000</v>
          </cell>
          <cell r="O45">
            <v>5000</v>
          </cell>
          <cell r="P45">
            <v>382000</v>
          </cell>
          <cell r="Q45">
            <v>382000</v>
          </cell>
        </row>
        <row r="46">
          <cell r="C46">
            <v>41</v>
          </cell>
          <cell r="D46" t="str">
            <v>CONCECAR</v>
          </cell>
          <cell r="E46" t="str">
            <v>A. HENARES - GUADALAJARA</v>
          </cell>
          <cell r="F46">
            <v>0</v>
          </cell>
          <cell r="G46">
            <v>0</v>
          </cell>
          <cell r="H46">
            <v>135000</v>
          </cell>
          <cell r="I46">
            <v>135000</v>
          </cell>
          <cell r="K46">
            <v>14000</v>
          </cell>
          <cell r="L46">
            <v>20000</v>
          </cell>
          <cell r="M46">
            <v>40000</v>
          </cell>
          <cell r="N46">
            <v>60000</v>
          </cell>
          <cell r="O46">
            <v>15000</v>
          </cell>
          <cell r="P46">
            <v>284000</v>
          </cell>
          <cell r="Q46">
            <v>284000</v>
          </cell>
        </row>
        <row r="47">
          <cell r="C47">
            <v>42</v>
          </cell>
          <cell r="D47" t="str">
            <v>DAFAL AUTOMOVILES I</v>
          </cell>
          <cell r="E47" t="str">
            <v>SEVILLA</v>
          </cell>
          <cell r="F47">
            <v>520000</v>
          </cell>
          <cell r="G47">
            <v>45000</v>
          </cell>
          <cell r="H47">
            <v>129000</v>
          </cell>
          <cell r="I47">
            <v>694000</v>
          </cell>
          <cell r="K47">
            <v>0</v>
          </cell>
          <cell r="L47">
            <v>0</v>
          </cell>
          <cell r="M47">
            <v>180000</v>
          </cell>
          <cell r="N47">
            <v>90000</v>
          </cell>
          <cell r="O47">
            <v>30000</v>
          </cell>
          <cell r="P47">
            <v>994000</v>
          </cell>
          <cell r="Q47">
            <v>700000</v>
          </cell>
        </row>
        <row r="48">
          <cell r="C48">
            <v>43</v>
          </cell>
          <cell r="D48" t="str">
            <v>DAFAL AUTOMOVILII</v>
          </cell>
          <cell r="E48" t="str">
            <v>SEVILLA</v>
          </cell>
          <cell r="F48">
            <v>352000</v>
          </cell>
          <cell r="G48">
            <v>54000</v>
          </cell>
          <cell r="H48">
            <v>155000</v>
          </cell>
          <cell r="I48">
            <v>561000</v>
          </cell>
          <cell r="K48">
            <v>0</v>
          </cell>
          <cell r="L48">
            <v>0</v>
          </cell>
          <cell r="M48">
            <v>15000</v>
          </cell>
          <cell r="N48">
            <v>0</v>
          </cell>
          <cell r="P48">
            <v>576000</v>
          </cell>
          <cell r="Q48">
            <v>255000</v>
          </cell>
        </row>
        <row r="49">
          <cell r="C49">
            <v>44</v>
          </cell>
          <cell r="D49" t="str">
            <v>DELTAVI</v>
          </cell>
          <cell r="E49" t="str">
            <v>VITORIA</v>
          </cell>
          <cell r="F49">
            <v>150000</v>
          </cell>
          <cell r="G49">
            <v>75000</v>
          </cell>
          <cell r="H49">
            <v>75000</v>
          </cell>
          <cell r="I49">
            <v>300000</v>
          </cell>
          <cell r="K49">
            <v>20000</v>
          </cell>
          <cell r="L49">
            <v>30000</v>
          </cell>
          <cell r="M49">
            <v>27000</v>
          </cell>
          <cell r="N49">
            <v>15000</v>
          </cell>
          <cell r="O49">
            <v>30000</v>
          </cell>
          <cell r="P49">
            <v>422000</v>
          </cell>
          <cell r="Q49">
            <v>422000</v>
          </cell>
        </row>
        <row r="50">
          <cell r="C50">
            <v>45</v>
          </cell>
          <cell r="D50" t="str">
            <v>DIFISA</v>
          </cell>
          <cell r="E50" t="str">
            <v>SABADELL</v>
          </cell>
          <cell r="F50">
            <v>233000</v>
          </cell>
          <cell r="G50">
            <v>55000</v>
          </cell>
          <cell r="H50">
            <v>83000</v>
          </cell>
          <cell r="I50">
            <v>371000</v>
          </cell>
          <cell r="K50">
            <v>19000</v>
          </cell>
          <cell r="L50">
            <v>28000</v>
          </cell>
          <cell r="M50">
            <v>60000</v>
          </cell>
          <cell r="N50">
            <v>125000</v>
          </cell>
          <cell r="P50">
            <v>603000</v>
          </cell>
          <cell r="Q50">
            <v>450000</v>
          </cell>
          <cell r="R50">
            <v>50000</v>
          </cell>
        </row>
        <row r="51">
          <cell r="C51">
            <v>46</v>
          </cell>
          <cell r="D51" t="str">
            <v>DOBEL AUTO</v>
          </cell>
          <cell r="E51" t="str">
            <v>BARACALDO</v>
          </cell>
          <cell r="F51">
            <v>150000</v>
          </cell>
          <cell r="G51">
            <v>40000</v>
          </cell>
          <cell r="H51">
            <v>0</v>
          </cell>
          <cell r="I51">
            <v>190000</v>
          </cell>
          <cell r="K51">
            <v>14000</v>
          </cell>
          <cell r="L51">
            <v>20000</v>
          </cell>
          <cell r="M51">
            <v>32000</v>
          </cell>
          <cell r="N51">
            <v>5000</v>
          </cell>
          <cell r="P51">
            <v>261000</v>
          </cell>
          <cell r="Q51">
            <v>261000</v>
          </cell>
        </row>
        <row r="52">
          <cell r="C52">
            <v>47</v>
          </cell>
          <cell r="D52" t="str">
            <v>DRAGON CANARIAS</v>
          </cell>
          <cell r="E52" t="str">
            <v>LAS PALMAS</v>
          </cell>
          <cell r="F52">
            <v>238000</v>
          </cell>
          <cell r="G52">
            <v>60000</v>
          </cell>
          <cell r="H52">
            <v>92000</v>
          </cell>
          <cell r="I52">
            <v>390000</v>
          </cell>
          <cell r="K52">
            <v>39000</v>
          </cell>
          <cell r="L52">
            <v>59000</v>
          </cell>
          <cell r="M52">
            <v>35000</v>
          </cell>
          <cell r="N52">
            <v>0</v>
          </cell>
          <cell r="O52">
            <v>20000</v>
          </cell>
          <cell r="P52">
            <v>543000</v>
          </cell>
          <cell r="Q52">
            <v>543000</v>
          </cell>
        </row>
        <row r="53">
          <cell r="C53">
            <v>48</v>
          </cell>
          <cell r="D53" t="str">
            <v>EGARA MOTOR</v>
          </cell>
          <cell r="E53" t="str">
            <v>TARRASA</v>
          </cell>
          <cell r="F53">
            <v>134000</v>
          </cell>
          <cell r="G53">
            <v>50000</v>
          </cell>
          <cell r="H53">
            <v>48000</v>
          </cell>
          <cell r="I53">
            <v>232000</v>
          </cell>
          <cell r="K53">
            <v>14000</v>
          </cell>
          <cell r="L53">
            <v>22000</v>
          </cell>
          <cell r="M53">
            <v>33000</v>
          </cell>
          <cell r="N53">
            <v>5000</v>
          </cell>
          <cell r="P53">
            <v>306000</v>
          </cell>
          <cell r="Q53">
            <v>243000</v>
          </cell>
          <cell r="R53">
            <v>30000</v>
          </cell>
        </row>
        <row r="54">
          <cell r="C54">
            <v>49</v>
          </cell>
          <cell r="D54" t="str">
            <v>FAZMOTOR</v>
          </cell>
          <cell r="E54" t="str">
            <v>ALICANTE</v>
          </cell>
          <cell r="F54">
            <v>123000</v>
          </cell>
          <cell r="G54">
            <v>50000</v>
          </cell>
          <cell r="H54">
            <v>0</v>
          </cell>
          <cell r="I54">
            <v>173000</v>
          </cell>
          <cell r="K54">
            <v>21000</v>
          </cell>
          <cell r="L54">
            <v>31000</v>
          </cell>
          <cell r="M54">
            <v>37000</v>
          </cell>
          <cell r="N54">
            <v>5000</v>
          </cell>
          <cell r="O54">
            <v>10000</v>
          </cell>
          <cell r="P54">
            <v>277000</v>
          </cell>
          <cell r="Q54">
            <v>277000</v>
          </cell>
        </row>
        <row r="55">
          <cell r="C55">
            <v>50</v>
          </cell>
          <cell r="D55" t="str">
            <v>FIATEIRA MOTOR</v>
          </cell>
          <cell r="E55" t="str">
            <v>LA CORUÑA</v>
          </cell>
          <cell r="F55">
            <v>334000</v>
          </cell>
          <cell r="G55">
            <v>45000</v>
          </cell>
          <cell r="H55">
            <v>100000</v>
          </cell>
          <cell r="I55">
            <v>479000</v>
          </cell>
          <cell r="K55">
            <v>31000</v>
          </cell>
          <cell r="L55">
            <v>47000</v>
          </cell>
          <cell r="M55">
            <v>70000</v>
          </cell>
          <cell r="N55">
            <v>22000</v>
          </cell>
          <cell r="O55">
            <v>30000</v>
          </cell>
          <cell r="P55">
            <v>679000</v>
          </cell>
          <cell r="Q55">
            <v>679000</v>
          </cell>
        </row>
        <row r="56">
          <cell r="C56">
            <v>51</v>
          </cell>
          <cell r="D56" t="str">
            <v>FIDAUTO</v>
          </cell>
          <cell r="E56" t="str">
            <v>PNTEVEDRA</v>
          </cell>
          <cell r="F56">
            <v>150000</v>
          </cell>
          <cell r="G56">
            <v>50000</v>
          </cell>
          <cell r="H56">
            <v>0</v>
          </cell>
          <cell r="I56">
            <v>200000</v>
          </cell>
          <cell r="K56">
            <v>24000</v>
          </cell>
          <cell r="L56">
            <v>36000</v>
          </cell>
          <cell r="M56">
            <v>39000</v>
          </cell>
          <cell r="N56">
            <v>23000</v>
          </cell>
          <cell r="P56">
            <v>322000</v>
          </cell>
          <cell r="Q56">
            <v>322000</v>
          </cell>
        </row>
        <row r="57">
          <cell r="C57">
            <v>52</v>
          </cell>
          <cell r="D57" t="str">
            <v>FIMALAGA</v>
          </cell>
          <cell r="E57" t="str">
            <v>MALAGA</v>
          </cell>
          <cell r="F57">
            <v>277000</v>
          </cell>
          <cell r="G57">
            <v>0</v>
          </cell>
          <cell r="H57">
            <v>0</v>
          </cell>
          <cell r="I57">
            <v>277000</v>
          </cell>
          <cell r="K57">
            <v>16000</v>
          </cell>
          <cell r="L57">
            <v>24000</v>
          </cell>
          <cell r="M57">
            <v>50000</v>
          </cell>
          <cell r="N57">
            <v>15000</v>
          </cell>
          <cell r="P57">
            <v>382000</v>
          </cell>
          <cell r="Q57">
            <v>382000</v>
          </cell>
        </row>
        <row r="58">
          <cell r="C58">
            <v>53</v>
          </cell>
          <cell r="D58" t="str">
            <v>FISAGA</v>
          </cell>
          <cell r="E58" t="str">
            <v>ALGECIRAS</v>
          </cell>
          <cell r="F58">
            <v>111000</v>
          </cell>
          <cell r="G58">
            <v>0</v>
          </cell>
          <cell r="H58">
            <v>0</v>
          </cell>
          <cell r="I58">
            <v>111000</v>
          </cell>
          <cell r="K58">
            <v>8000</v>
          </cell>
          <cell r="L58">
            <v>13000</v>
          </cell>
          <cell r="M58">
            <v>27500</v>
          </cell>
          <cell r="N58">
            <v>10000</v>
          </cell>
          <cell r="P58">
            <v>169500</v>
          </cell>
          <cell r="Q58">
            <v>169500</v>
          </cell>
        </row>
        <row r="59">
          <cell r="C59">
            <v>54</v>
          </cell>
          <cell r="D59" t="str">
            <v>FISUR</v>
          </cell>
          <cell r="E59" t="str">
            <v>HUELVA</v>
          </cell>
          <cell r="F59">
            <v>153000</v>
          </cell>
          <cell r="G59">
            <v>40000</v>
          </cell>
          <cell r="H59">
            <v>59000</v>
          </cell>
          <cell r="I59">
            <v>252000</v>
          </cell>
          <cell r="J59">
            <v>40000</v>
          </cell>
          <cell r="K59">
            <v>16000</v>
          </cell>
          <cell r="L59">
            <v>24000</v>
          </cell>
          <cell r="M59">
            <v>35000</v>
          </cell>
          <cell r="N59">
            <v>15000</v>
          </cell>
          <cell r="P59">
            <v>382000</v>
          </cell>
          <cell r="Q59">
            <v>382000</v>
          </cell>
        </row>
        <row r="60">
          <cell r="C60">
            <v>55</v>
          </cell>
          <cell r="D60" t="str">
            <v>FLICK EXTREMAD.</v>
          </cell>
          <cell r="E60" t="str">
            <v>BADAJOZ</v>
          </cell>
          <cell r="F60">
            <v>278000</v>
          </cell>
          <cell r="G60">
            <v>50000</v>
          </cell>
          <cell r="H60">
            <v>82000</v>
          </cell>
          <cell r="I60">
            <v>410000</v>
          </cell>
          <cell r="K60">
            <v>20000</v>
          </cell>
          <cell r="L60">
            <v>30000</v>
          </cell>
          <cell r="M60">
            <v>35000</v>
          </cell>
          <cell r="N60">
            <v>6000</v>
          </cell>
          <cell r="O60">
            <v>5000</v>
          </cell>
          <cell r="P60">
            <v>506000</v>
          </cell>
          <cell r="Q60">
            <v>506000</v>
          </cell>
        </row>
        <row r="61">
          <cell r="C61">
            <v>56</v>
          </cell>
          <cell r="D61" t="str">
            <v>FLICK TENERIFE</v>
          </cell>
          <cell r="E61" t="str">
            <v>TENERIFE</v>
          </cell>
          <cell r="F61">
            <v>300000</v>
          </cell>
          <cell r="G61">
            <v>0</v>
          </cell>
          <cell r="H61">
            <v>0</v>
          </cell>
          <cell r="I61">
            <v>300000</v>
          </cell>
          <cell r="K61">
            <v>20000</v>
          </cell>
          <cell r="L61">
            <v>30000</v>
          </cell>
          <cell r="M61">
            <v>25000</v>
          </cell>
          <cell r="N61">
            <v>0</v>
          </cell>
          <cell r="P61">
            <v>375000</v>
          </cell>
          <cell r="Q61">
            <v>375000</v>
          </cell>
        </row>
        <row r="62">
          <cell r="C62">
            <v>57</v>
          </cell>
          <cell r="D62" t="str">
            <v>FLORENCIO PRADO</v>
          </cell>
          <cell r="E62" t="str">
            <v>SALAMANCA</v>
          </cell>
          <cell r="F62">
            <v>180000</v>
          </cell>
          <cell r="G62">
            <v>40000</v>
          </cell>
          <cell r="H62">
            <v>75000</v>
          </cell>
          <cell r="I62">
            <v>295000</v>
          </cell>
          <cell r="J62">
            <v>50000</v>
          </cell>
          <cell r="K62">
            <v>38000</v>
          </cell>
          <cell r="L62">
            <v>57000</v>
          </cell>
          <cell r="M62">
            <v>48000</v>
          </cell>
          <cell r="N62">
            <v>15000</v>
          </cell>
          <cell r="O62">
            <v>20000</v>
          </cell>
          <cell r="P62">
            <v>523000</v>
          </cell>
          <cell r="Q62">
            <v>523000</v>
          </cell>
        </row>
        <row r="63">
          <cell r="C63">
            <v>58</v>
          </cell>
          <cell r="D63" t="str">
            <v>GARAJE SALA</v>
          </cell>
          <cell r="E63" t="str">
            <v>FIGUERAS</v>
          </cell>
          <cell r="F63">
            <v>125000</v>
          </cell>
          <cell r="G63">
            <v>0</v>
          </cell>
          <cell r="H63">
            <v>60000</v>
          </cell>
          <cell r="I63">
            <v>185000</v>
          </cell>
          <cell r="K63">
            <v>22000</v>
          </cell>
          <cell r="L63">
            <v>32000</v>
          </cell>
          <cell r="M63">
            <v>29000</v>
          </cell>
          <cell r="N63">
            <v>0</v>
          </cell>
          <cell r="P63">
            <v>268000</v>
          </cell>
          <cell r="Q63">
            <v>268000</v>
          </cell>
        </row>
        <row r="64">
          <cell r="C64">
            <v>59</v>
          </cell>
          <cell r="D64" t="str">
            <v>GARAJE INTERNAC.</v>
          </cell>
          <cell r="E64" t="str">
            <v>GERONA</v>
          </cell>
          <cell r="F64">
            <v>172000</v>
          </cell>
          <cell r="G64">
            <v>75000</v>
          </cell>
          <cell r="H64">
            <v>57000</v>
          </cell>
          <cell r="I64">
            <v>304000</v>
          </cell>
          <cell r="K64">
            <v>10000</v>
          </cell>
          <cell r="L64">
            <v>15000</v>
          </cell>
          <cell r="M64">
            <v>63000</v>
          </cell>
          <cell r="N64">
            <v>14000</v>
          </cell>
          <cell r="P64">
            <v>406000</v>
          </cell>
          <cell r="Q64">
            <v>318000</v>
          </cell>
          <cell r="R64">
            <v>25000</v>
          </cell>
        </row>
        <row r="65">
          <cell r="C65">
            <v>60</v>
          </cell>
          <cell r="D65" t="str">
            <v xml:space="preserve">GARCIA RODRIGUEZ </v>
          </cell>
          <cell r="E65" t="str">
            <v>OVIEDO</v>
          </cell>
          <cell r="F65">
            <v>286000</v>
          </cell>
          <cell r="G65">
            <v>90000</v>
          </cell>
          <cell r="H65">
            <v>101000</v>
          </cell>
          <cell r="I65">
            <v>477000</v>
          </cell>
          <cell r="K65">
            <v>17000</v>
          </cell>
          <cell r="L65">
            <v>26000</v>
          </cell>
          <cell r="M65">
            <v>52000</v>
          </cell>
          <cell r="N65">
            <v>0</v>
          </cell>
          <cell r="P65">
            <v>572000</v>
          </cell>
          <cell r="Q65">
            <v>427000</v>
          </cell>
          <cell r="R65">
            <v>30000</v>
          </cell>
        </row>
        <row r="66">
          <cell r="C66">
            <v>61</v>
          </cell>
          <cell r="D66" t="str">
            <v>GRANDI CENTRI III</v>
          </cell>
          <cell r="E66" t="str">
            <v>VALENCIA</v>
          </cell>
          <cell r="F66">
            <v>470000</v>
          </cell>
          <cell r="G66">
            <v>64000</v>
          </cell>
          <cell r="H66">
            <v>188000</v>
          </cell>
          <cell r="I66">
            <v>722000</v>
          </cell>
          <cell r="K66">
            <v>9000</v>
          </cell>
          <cell r="L66">
            <v>25000</v>
          </cell>
          <cell r="M66">
            <v>112000</v>
          </cell>
          <cell r="N66">
            <v>20000</v>
          </cell>
          <cell r="P66">
            <v>888000</v>
          </cell>
          <cell r="Q66">
            <v>682000</v>
          </cell>
          <cell r="R66">
            <v>100000</v>
          </cell>
        </row>
        <row r="67">
          <cell r="C67">
            <v>62</v>
          </cell>
          <cell r="D67" t="str">
            <v>HOGEI</v>
          </cell>
          <cell r="E67" t="str">
            <v>EIBAR</v>
          </cell>
          <cell r="F67">
            <v>98000</v>
          </cell>
          <cell r="G67">
            <v>0</v>
          </cell>
          <cell r="H67">
            <v>46000</v>
          </cell>
          <cell r="I67">
            <v>144000</v>
          </cell>
          <cell r="K67">
            <v>10000</v>
          </cell>
          <cell r="L67">
            <v>16000</v>
          </cell>
          <cell r="M67">
            <v>45000</v>
          </cell>
          <cell r="N67">
            <v>20000</v>
          </cell>
          <cell r="P67">
            <v>235000</v>
          </cell>
          <cell r="Q67">
            <v>235000</v>
          </cell>
        </row>
        <row r="68">
          <cell r="C68">
            <v>63</v>
          </cell>
          <cell r="D68" t="str">
            <v>HUECAR AUT.</v>
          </cell>
          <cell r="E68" t="str">
            <v>CUENCA</v>
          </cell>
          <cell r="F68">
            <v>64000</v>
          </cell>
          <cell r="G68">
            <v>10000</v>
          </cell>
          <cell r="H68">
            <v>21000</v>
          </cell>
          <cell r="I68">
            <v>95000</v>
          </cell>
          <cell r="K68">
            <v>5000</v>
          </cell>
          <cell r="L68">
            <v>7000</v>
          </cell>
          <cell r="M68">
            <v>20000</v>
          </cell>
          <cell r="N68">
            <v>10000</v>
          </cell>
          <cell r="O68">
            <v>5000</v>
          </cell>
          <cell r="P68">
            <v>142000</v>
          </cell>
          <cell r="Q68">
            <v>142000</v>
          </cell>
        </row>
        <row r="69">
          <cell r="C69">
            <v>64</v>
          </cell>
          <cell r="D69" t="str">
            <v>IMOLA</v>
          </cell>
          <cell r="E69" t="str">
            <v>CASTELLON</v>
          </cell>
          <cell r="F69">
            <v>300000</v>
          </cell>
          <cell r="G69">
            <v>40000</v>
          </cell>
          <cell r="H69">
            <v>90000</v>
          </cell>
          <cell r="I69">
            <v>430000</v>
          </cell>
          <cell r="K69">
            <v>40000</v>
          </cell>
          <cell r="L69">
            <v>60000</v>
          </cell>
          <cell r="M69">
            <v>75000</v>
          </cell>
          <cell r="N69">
            <v>22000</v>
          </cell>
          <cell r="O69">
            <v>12000</v>
          </cell>
          <cell r="P69">
            <v>639000</v>
          </cell>
          <cell r="Q69">
            <v>639000</v>
          </cell>
        </row>
        <row r="70">
          <cell r="C70">
            <v>65</v>
          </cell>
          <cell r="D70" t="str">
            <v>INAUTO</v>
          </cell>
          <cell r="E70" t="str">
            <v>STA. CRUZ DE TENERIFE</v>
          </cell>
          <cell r="F70">
            <v>310000</v>
          </cell>
          <cell r="G70">
            <v>80000</v>
          </cell>
          <cell r="H70">
            <v>0</v>
          </cell>
          <cell r="I70">
            <v>390000</v>
          </cell>
          <cell r="K70">
            <v>43000</v>
          </cell>
          <cell r="L70">
            <v>64000</v>
          </cell>
          <cell r="M70">
            <v>47000</v>
          </cell>
          <cell r="N70">
            <v>0</v>
          </cell>
          <cell r="P70">
            <v>544000</v>
          </cell>
          <cell r="Q70">
            <v>544000</v>
          </cell>
        </row>
        <row r="71">
          <cell r="C71">
            <v>66</v>
          </cell>
          <cell r="D71" t="str">
            <v>ITALSOLMOTORS III</v>
          </cell>
          <cell r="E71" t="str">
            <v>HOSPITALET</v>
          </cell>
          <cell r="F71">
            <v>388000</v>
          </cell>
          <cell r="G71">
            <v>62000</v>
          </cell>
          <cell r="H71">
            <v>153000</v>
          </cell>
          <cell r="I71">
            <v>603000</v>
          </cell>
          <cell r="K71">
            <v>12000</v>
          </cell>
          <cell r="L71">
            <v>17000</v>
          </cell>
          <cell r="M71">
            <v>17000</v>
          </cell>
          <cell r="N71">
            <v>0</v>
          </cell>
          <cell r="P71">
            <v>649000</v>
          </cell>
          <cell r="Q71">
            <v>292000</v>
          </cell>
          <cell r="R71">
            <v>150000</v>
          </cell>
        </row>
        <row r="72">
          <cell r="C72">
            <v>67</v>
          </cell>
          <cell r="D72" t="str">
            <v>J. GÜELL</v>
          </cell>
          <cell r="E72" t="str">
            <v>VIC</v>
          </cell>
          <cell r="F72">
            <v>100000</v>
          </cell>
          <cell r="G72">
            <v>0</v>
          </cell>
          <cell r="H72">
            <v>22000</v>
          </cell>
          <cell r="I72">
            <v>122000</v>
          </cell>
          <cell r="K72">
            <v>8000</v>
          </cell>
          <cell r="L72">
            <v>12000</v>
          </cell>
          <cell r="M72">
            <v>12000</v>
          </cell>
          <cell r="N72">
            <v>0</v>
          </cell>
          <cell r="P72">
            <v>154000</v>
          </cell>
          <cell r="Q72">
            <v>154000</v>
          </cell>
        </row>
        <row r="73">
          <cell r="C73">
            <v>68</v>
          </cell>
          <cell r="D73" t="str">
            <v>LANFAVI</v>
          </cell>
          <cell r="E73" t="str">
            <v>VITORIA</v>
          </cell>
          <cell r="F73">
            <v>0</v>
          </cell>
          <cell r="I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P73">
            <v>0</v>
          </cell>
        </row>
        <row r="74">
          <cell r="C74">
            <v>69</v>
          </cell>
          <cell r="D74" t="str">
            <v>LEMOTOR</v>
          </cell>
          <cell r="E74" t="str">
            <v>LEON</v>
          </cell>
          <cell r="F74">
            <v>125000</v>
          </cell>
          <cell r="G74">
            <v>50000</v>
          </cell>
          <cell r="H74">
            <v>0</v>
          </cell>
          <cell r="I74">
            <v>175000</v>
          </cell>
          <cell r="K74">
            <v>0</v>
          </cell>
          <cell r="L74">
            <v>0</v>
          </cell>
          <cell r="M74">
            <v>29000</v>
          </cell>
          <cell r="N74">
            <v>0</v>
          </cell>
          <cell r="P74">
            <v>204000</v>
          </cell>
          <cell r="Q74">
            <v>204000</v>
          </cell>
        </row>
        <row r="75">
          <cell r="C75">
            <v>70</v>
          </cell>
          <cell r="D75" t="str">
            <v>LIDERCAR DOS MIL</v>
          </cell>
          <cell r="E75" t="str">
            <v>A. HENARES - GUADALAJARA</v>
          </cell>
          <cell r="F75">
            <v>300000</v>
          </cell>
          <cell r="G75">
            <v>70000</v>
          </cell>
          <cell r="H75">
            <v>0</v>
          </cell>
          <cell r="I75">
            <v>370000</v>
          </cell>
          <cell r="K75">
            <v>54000</v>
          </cell>
          <cell r="L75">
            <v>81000</v>
          </cell>
          <cell r="M75">
            <v>96000</v>
          </cell>
          <cell r="N75">
            <v>75000</v>
          </cell>
          <cell r="P75">
            <v>676000</v>
          </cell>
          <cell r="Q75">
            <v>676000</v>
          </cell>
        </row>
        <row r="76">
          <cell r="C76">
            <v>71</v>
          </cell>
          <cell r="D76" t="str">
            <v>LOGROMOTOR</v>
          </cell>
          <cell r="E76" t="str">
            <v>LOGROÑO</v>
          </cell>
          <cell r="F76">
            <v>105000</v>
          </cell>
          <cell r="G76">
            <v>35000</v>
          </cell>
          <cell r="H76">
            <v>0</v>
          </cell>
          <cell r="I76">
            <v>140000</v>
          </cell>
          <cell r="J76">
            <v>30000</v>
          </cell>
          <cell r="K76">
            <v>12000</v>
          </cell>
          <cell r="L76">
            <v>19000</v>
          </cell>
          <cell r="M76">
            <v>24000</v>
          </cell>
          <cell r="N76">
            <v>15000</v>
          </cell>
          <cell r="O76">
            <v>30000</v>
          </cell>
          <cell r="P76">
            <v>270000</v>
          </cell>
          <cell r="Q76">
            <v>270000</v>
          </cell>
        </row>
        <row r="77">
          <cell r="C77">
            <v>72</v>
          </cell>
          <cell r="D77" t="str">
            <v>LUCECAR</v>
          </cell>
          <cell r="E77" t="str">
            <v>LUCENA</v>
          </cell>
          <cell r="F77">
            <v>67000</v>
          </cell>
          <cell r="G77">
            <v>0</v>
          </cell>
          <cell r="H77">
            <v>0</v>
          </cell>
          <cell r="I77">
            <v>67000</v>
          </cell>
          <cell r="K77">
            <v>4000</v>
          </cell>
          <cell r="L77">
            <v>6000</v>
          </cell>
          <cell r="M77">
            <v>13000</v>
          </cell>
          <cell r="N77">
            <v>12000</v>
          </cell>
          <cell r="O77">
            <v>5000</v>
          </cell>
          <cell r="P77">
            <v>107000</v>
          </cell>
          <cell r="Q77">
            <v>107000</v>
          </cell>
        </row>
        <row r="78">
          <cell r="C78">
            <v>73</v>
          </cell>
          <cell r="D78" t="str">
            <v>LUGOCAR</v>
          </cell>
          <cell r="E78" t="str">
            <v>LUGO</v>
          </cell>
          <cell r="F78">
            <v>120000</v>
          </cell>
          <cell r="G78">
            <v>40000</v>
          </cell>
          <cell r="H78">
            <v>50000</v>
          </cell>
          <cell r="I78">
            <v>210000</v>
          </cell>
          <cell r="J78">
            <v>35000</v>
          </cell>
          <cell r="K78">
            <v>17000</v>
          </cell>
          <cell r="L78">
            <v>26000</v>
          </cell>
          <cell r="M78">
            <v>69000</v>
          </cell>
          <cell r="N78">
            <v>5000</v>
          </cell>
          <cell r="P78">
            <v>362000</v>
          </cell>
          <cell r="Q78">
            <v>362000</v>
          </cell>
        </row>
        <row r="79">
          <cell r="C79">
            <v>74</v>
          </cell>
          <cell r="D79" t="str">
            <v>MANRESAUTO</v>
          </cell>
          <cell r="E79" t="str">
            <v>MANRESA</v>
          </cell>
          <cell r="F79">
            <v>114000</v>
          </cell>
          <cell r="G79">
            <v>0</v>
          </cell>
          <cell r="H79">
            <v>38000</v>
          </cell>
          <cell r="I79">
            <v>152000</v>
          </cell>
          <cell r="K79">
            <v>6000</v>
          </cell>
          <cell r="L79">
            <v>10000</v>
          </cell>
          <cell r="M79">
            <v>30000</v>
          </cell>
          <cell r="N79">
            <v>5000</v>
          </cell>
          <cell r="P79">
            <v>203000</v>
          </cell>
          <cell r="Q79">
            <v>203000</v>
          </cell>
        </row>
        <row r="80">
          <cell r="C80">
            <v>75</v>
          </cell>
          <cell r="D80" t="str">
            <v>MARESME MOVIL</v>
          </cell>
          <cell r="E80" t="str">
            <v>MATARO</v>
          </cell>
          <cell r="F80">
            <v>151000</v>
          </cell>
          <cell r="G80">
            <v>35000</v>
          </cell>
          <cell r="H80">
            <v>0</v>
          </cell>
          <cell r="I80">
            <v>186000</v>
          </cell>
          <cell r="K80">
            <v>4000</v>
          </cell>
          <cell r="L80">
            <v>5000</v>
          </cell>
          <cell r="M80">
            <v>26000</v>
          </cell>
          <cell r="N80">
            <v>0</v>
          </cell>
          <cell r="P80">
            <v>221000</v>
          </cell>
          <cell r="Q80">
            <v>46200</v>
          </cell>
        </row>
        <row r="81">
          <cell r="C81">
            <v>76</v>
          </cell>
          <cell r="D81" t="str">
            <v>MEDANSA</v>
          </cell>
          <cell r="E81" t="str">
            <v>PAMPLONA</v>
          </cell>
          <cell r="F81">
            <v>150000</v>
          </cell>
          <cell r="G81">
            <v>36000</v>
          </cell>
          <cell r="H81">
            <v>110000</v>
          </cell>
          <cell r="I81">
            <v>296000</v>
          </cell>
          <cell r="K81">
            <v>32000</v>
          </cell>
          <cell r="L81">
            <v>49000</v>
          </cell>
          <cell r="M81">
            <v>55000</v>
          </cell>
          <cell r="N81">
            <v>0</v>
          </cell>
          <cell r="P81">
            <v>432000</v>
          </cell>
          <cell r="Q81">
            <v>432000</v>
          </cell>
        </row>
        <row r="82">
          <cell r="C82">
            <v>77</v>
          </cell>
          <cell r="D82" t="str">
            <v>MERIDIANA MOTOR</v>
          </cell>
          <cell r="E82" t="str">
            <v>BARCELONA</v>
          </cell>
          <cell r="F82">
            <v>200000</v>
          </cell>
          <cell r="G82">
            <v>0</v>
          </cell>
          <cell r="H82">
            <v>100000</v>
          </cell>
          <cell r="I82">
            <v>300000</v>
          </cell>
          <cell r="K82">
            <v>24000</v>
          </cell>
          <cell r="L82">
            <v>36000</v>
          </cell>
          <cell r="M82">
            <v>85000</v>
          </cell>
          <cell r="N82">
            <v>10000</v>
          </cell>
          <cell r="O82">
            <v>15000</v>
          </cell>
          <cell r="P82">
            <v>470000</v>
          </cell>
          <cell r="Q82">
            <v>470000</v>
          </cell>
        </row>
        <row r="83">
          <cell r="C83">
            <v>78</v>
          </cell>
          <cell r="D83" t="str">
            <v>MINICAR PONS</v>
          </cell>
          <cell r="E83" t="str">
            <v>REUS</v>
          </cell>
          <cell r="F83">
            <v>181000</v>
          </cell>
          <cell r="G83">
            <v>54000</v>
          </cell>
          <cell r="H83">
            <v>0</v>
          </cell>
          <cell r="I83">
            <v>235000</v>
          </cell>
          <cell r="K83">
            <v>16000</v>
          </cell>
          <cell r="L83">
            <v>23000</v>
          </cell>
          <cell r="M83">
            <v>50000</v>
          </cell>
          <cell r="N83">
            <v>5000</v>
          </cell>
          <cell r="P83">
            <v>329000</v>
          </cell>
          <cell r="Q83">
            <v>329000</v>
          </cell>
        </row>
        <row r="84">
          <cell r="C84">
            <v>79</v>
          </cell>
          <cell r="D84" t="str">
            <v>MOTOR 23</v>
          </cell>
          <cell r="E84" t="str">
            <v>TARRAGONA</v>
          </cell>
          <cell r="F84">
            <v>246000</v>
          </cell>
          <cell r="G84">
            <v>0</v>
          </cell>
          <cell r="H84">
            <v>141000</v>
          </cell>
          <cell r="I84">
            <v>387000</v>
          </cell>
          <cell r="K84">
            <v>30000</v>
          </cell>
          <cell r="L84">
            <v>44000</v>
          </cell>
          <cell r="M84">
            <v>45000</v>
          </cell>
          <cell r="N84">
            <v>5000</v>
          </cell>
          <cell r="O84">
            <v>10000</v>
          </cell>
          <cell r="P84">
            <v>521000</v>
          </cell>
          <cell r="Q84">
            <v>521000</v>
          </cell>
        </row>
        <row r="85">
          <cell r="C85">
            <v>80</v>
          </cell>
          <cell r="D85" t="str">
            <v>MOTOR CARMA</v>
          </cell>
          <cell r="E85" t="str">
            <v>DENIA</v>
          </cell>
          <cell r="F85">
            <v>194000</v>
          </cell>
          <cell r="G85">
            <v>40000</v>
          </cell>
          <cell r="H85">
            <v>0</v>
          </cell>
          <cell r="I85">
            <v>234000</v>
          </cell>
          <cell r="K85">
            <v>14000</v>
          </cell>
          <cell r="L85">
            <v>22000</v>
          </cell>
          <cell r="M85">
            <v>28000</v>
          </cell>
          <cell r="N85">
            <v>0</v>
          </cell>
          <cell r="P85">
            <v>298000</v>
          </cell>
          <cell r="Q85">
            <v>260000</v>
          </cell>
          <cell r="R85">
            <v>15000</v>
          </cell>
        </row>
        <row r="86">
          <cell r="C86">
            <v>81</v>
          </cell>
          <cell r="D86" t="str">
            <v>MOTOR CARTAGENA</v>
          </cell>
          <cell r="E86" t="str">
            <v>CARTAGENA</v>
          </cell>
          <cell r="F86">
            <v>140000</v>
          </cell>
          <cell r="G86">
            <v>30000</v>
          </cell>
          <cell r="H86">
            <v>0</v>
          </cell>
          <cell r="I86">
            <v>170000</v>
          </cell>
          <cell r="J86">
            <v>40000</v>
          </cell>
          <cell r="K86">
            <v>22000</v>
          </cell>
          <cell r="L86">
            <v>33000</v>
          </cell>
          <cell r="M86">
            <v>42000</v>
          </cell>
          <cell r="N86">
            <v>8000</v>
          </cell>
          <cell r="P86">
            <v>315000</v>
          </cell>
          <cell r="Q86">
            <v>315000</v>
          </cell>
        </row>
        <row r="87">
          <cell r="C87">
            <v>82</v>
          </cell>
          <cell r="D87" t="str">
            <v>MOTOR CAN</v>
          </cell>
          <cell r="E87" t="str">
            <v>CEUTA</v>
          </cell>
          <cell r="F87">
            <v>40000</v>
          </cell>
          <cell r="G87">
            <v>25000</v>
          </cell>
          <cell r="H87">
            <v>20000</v>
          </cell>
          <cell r="I87">
            <v>85000</v>
          </cell>
          <cell r="K87">
            <v>7000</v>
          </cell>
          <cell r="L87">
            <v>10000</v>
          </cell>
          <cell r="M87">
            <v>4000</v>
          </cell>
          <cell r="N87">
            <v>0</v>
          </cell>
          <cell r="P87">
            <v>106000</v>
          </cell>
          <cell r="Q87">
            <v>106000</v>
          </cell>
        </row>
        <row r="88">
          <cell r="C88">
            <v>83</v>
          </cell>
          <cell r="D88" t="str">
            <v>MOTOR DOS</v>
          </cell>
          <cell r="E88" t="str">
            <v>GRANADA</v>
          </cell>
          <cell r="F88">
            <v>283000</v>
          </cell>
          <cell r="G88">
            <v>40000</v>
          </cell>
          <cell r="H88">
            <v>111000</v>
          </cell>
          <cell r="I88">
            <v>434000</v>
          </cell>
          <cell r="K88">
            <v>10000</v>
          </cell>
          <cell r="L88">
            <v>40000</v>
          </cell>
          <cell r="M88">
            <v>65000</v>
          </cell>
          <cell r="N88">
            <v>20000</v>
          </cell>
          <cell r="O88">
            <v>25000</v>
          </cell>
          <cell r="P88">
            <v>594000</v>
          </cell>
          <cell r="Q88">
            <v>594000</v>
          </cell>
        </row>
        <row r="89">
          <cell r="C89">
            <v>84</v>
          </cell>
          <cell r="D89" t="str">
            <v>MOVIL AUTO PETREL</v>
          </cell>
          <cell r="E89" t="str">
            <v>ELDA</v>
          </cell>
          <cell r="F89">
            <v>290000</v>
          </cell>
          <cell r="G89">
            <v>33000</v>
          </cell>
          <cell r="H89">
            <v>120000</v>
          </cell>
          <cell r="I89">
            <v>443000</v>
          </cell>
          <cell r="K89">
            <v>20000</v>
          </cell>
          <cell r="L89">
            <v>31000</v>
          </cell>
          <cell r="M89">
            <v>35000</v>
          </cell>
          <cell r="N89">
            <v>15000</v>
          </cell>
          <cell r="O89">
            <v>5000</v>
          </cell>
          <cell r="P89">
            <v>549000</v>
          </cell>
          <cell r="Q89">
            <v>549000</v>
          </cell>
        </row>
        <row r="90">
          <cell r="C90">
            <v>85</v>
          </cell>
          <cell r="D90" t="str">
            <v>MULTIPOINT M - 3</v>
          </cell>
          <cell r="E90" t="str">
            <v>LEGANES</v>
          </cell>
          <cell r="F90">
            <v>275000</v>
          </cell>
          <cell r="G90">
            <v>0</v>
          </cell>
          <cell r="H90">
            <v>75000</v>
          </cell>
          <cell r="I90">
            <v>350000</v>
          </cell>
          <cell r="K90">
            <v>50000</v>
          </cell>
          <cell r="L90">
            <v>76000</v>
          </cell>
          <cell r="M90">
            <v>105000</v>
          </cell>
          <cell r="N90">
            <v>28000</v>
          </cell>
          <cell r="O90">
            <v>12000</v>
          </cell>
          <cell r="P90">
            <v>621000</v>
          </cell>
          <cell r="Q90">
            <v>621000</v>
          </cell>
        </row>
        <row r="91">
          <cell r="C91">
            <v>86</v>
          </cell>
          <cell r="D91" t="str">
            <v>MUTRASA</v>
          </cell>
          <cell r="E91" t="str">
            <v>MURCIA</v>
          </cell>
          <cell r="F91">
            <v>306000</v>
          </cell>
          <cell r="G91">
            <v>60000</v>
          </cell>
          <cell r="H91">
            <v>203000</v>
          </cell>
          <cell r="I91">
            <v>569000</v>
          </cell>
          <cell r="K91">
            <v>30000</v>
          </cell>
          <cell r="L91">
            <v>44000</v>
          </cell>
          <cell r="M91">
            <v>65000</v>
          </cell>
          <cell r="N91">
            <v>50000</v>
          </cell>
          <cell r="O91">
            <v>20000</v>
          </cell>
          <cell r="P91">
            <v>778000</v>
          </cell>
          <cell r="Q91">
            <v>600000</v>
          </cell>
          <cell r="R91">
            <v>40000</v>
          </cell>
        </row>
        <row r="92">
          <cell r="C92">
            <v>87</v>
          </cell>
          <cell r="D92" t="str">
            <v>PIQUER TURISMOS</v>
          </cell>
          <cell r="E92" t="str">
            <v>ALMERIA</v>
          </cell>
          <cell r="F92">
            <v>227000</v>
          </cell>
          <cell r="G92">
            <v>40000</v>
          </cell>
          <cell r="H92">
            <v>0</v>
          </cell>
          <cell r="I92">
            <v>267000</v>
          </cell>
          <cell r="J92">
            <v>100000</v>
          </cell>
          <cell r="K92">
            <v>10000</v>
          </cell>
          <cell r="L92">
            <v>25000</v>
          </cell>
          <cell r="M92">
            <v>32000</v>
          </cell>
          <cell r="N92">
            <v>10000</v>
          </cell>
          <cell r="O92">
            <v>20000</v>
          </cell>
          <cell r="P92">
            <v>464000</v>
          </cell>
          <cell r="Q92">
            <v>464000</v>
          </cell>
        </row>
        <row r="93">
          <cell r="C93">
            <v>88</v>
          </cell>
          <cell r="D93" t="str">
            <v>RAMARGO</v>
          </cell>
          <cell r="E93" t="str">
            <v>MADRID</v>
          </cell>
          <cell r="F93">
            <v>450000</v>
          </cell>
          <cell r="G93">
            <v>70000</v>
          </cell>
          <cell r="H93">
            <v>135000</v>
          </cell>
          <cell r="I93">
            <v>655000</v>
          </cell>
          <cell r="K93">
            <v>30000</v>
          </cell>
          <cell r="L93">
            <v>45000</v>
          </cell>
          <cell r="M93">
            <v>100000</v>
          </cell>
          <cell r="N93">
            <v>35000</v>
          </cell>
          <cell r="O93">
            <v>30000</v>
          </cell>
          <cell r="P93">
            <v>895000</v>
          </cell>
          <cell r="Q93">
            <v>895000</v>
          </cell>
        </row>
        <row r="94">
          <cell r="C94">
            <v>89</v>
          </cell>
          <cell r="D94" t="str">
            <v>REPARAUTO</v>
          </cell>
          <cell r="E94" t="str">
            <v>COLLADO VILLALBA</v>
          </cell>
          <cell r="F94">
            <v>175000</v>
          </cell>
          <cell r="G94">
            <v>40000</v>
          </cell>
          <cell r="H94">
            <v>0</v>
          </cell>
          <cell r="I94">
            <v>215000</v>
          </cell>
          <cell r="K94">
            <v>14000</v>
          </cell>
          <cell r="L94">
            <v>21000</v>
          </cell>
          <cell r="M94">
            <v>49000</v>
          </cell>
          <cell r="N94">
            <v>25000</v>
          </cell>
          <cell r="O94">
            <v>15000</v>
          </cell>
          <cell r="P94">
            <v>339000</v>
          </cell>
          <cell r="Q94">
            <v>339000</v>
          </cell>
        </row>
        <row r="95">
          <cell r="C95">
            <v>90</v>
          </cell>
          <cell r="D95" t="str">
            <v>ROCAR</v>
          </cell>
          <cell r="E95" t="str">
            <v>LAS PALMAS</v>
          </cell>
          <cell r="F95">
            <v>190000</v>
          </cell>
          <cell r="G95">
            <v>0</v>
          </cell>
          <cell r="H95">
            <v>0</v>
          </cell>
          <cell r="I95">
            <v>190000</v>
          </cell>
          <cell r="K95">
            <v>0</v>
          </cell>
          <cell r="L95">
            <v>0</v>
          </cell>
          <cell r="M95">
            <v>15000</v>
          </cell>
          <cell r="N95">
            <v>0</v>
          </cell>
          <cell r="P95">
            <v>205000</v>
          </cell>
          <cell r="Q95">
            <v>68700</v>
          </cell>
        </row>
        <row r="96">
          <cell r="C96">
            <v>91</v>
          </cell>
          <cell r="D96" t="str">
            <v>SIMPSON</v>
          </cell>
          <cell r="E96" t="str">
            <v>MADRID</v>
          </cell>
        </row>
        <row r="97">
          <cell r="C97">
            <v>92</v>
          </cell>
          <cell r="D97" t="str">
            <v>SIMPSON CENTER</v>
          </cell>
          <cell r="E97" t="str">
            <v>MADRID</v>
          </cell>
        </row>
        <row r="98">
          <cell r="C98">
            <v>93</v>
          </cell>
          <cell r="D98" t="str">
            <v>SETAMOVIL</v>
          </cell>
          <cell r="E98" t="str">
            <v>JATIVA</v>
          </cell>
          <cell r="F98">
            <v>153000</v>
          </cell>
          <cell r="G98">
            <v>0</v>
          </cell>
          <cell r="H98">
            <v>57000</v>
          </cell>
          <cell r="I98">
            <v>210000</v>
          </cell>
          <cell r="K98">
            <v>24000</v>
          </cell>
          <cell r="L98">
            <v>35000</v>
          </cell>
          <cell r="M98">
            <v>39000</v>
          </cell>
          <cell r="N98">
            <v>8000</v>
          </cell>
          <cell r="O98">
            <v>12000</v>
          </cell>
          <cell r="P98">
            <v>328000</v>
          </cell>
          <cell r="Q98">
            <v>328000</v>
          </cell>
        </row>
        <row r="99">
          <cell r="C99">
            <v>94</v>
          </cell>
          <cell r="D99" t="str">
            <v>STAZME</v>
          </cell>
          <cell r="E99" t="str">
            <v>LOGROÑO</v>
          </cell>
          <cell r="F99">
            <v>0</v>
          </cell>
          <cell r="G99">
            <v>0</v>
          </cell>
          <cell r="H99">
            <v>40000</v>
          </cell>
          <cell r="I99">
            <v>40000</v>
          </cell>
          <cell r="K99">
            <v>4000</v>
          </cell>
          <cell r="L99">
            <v>5000</v>
          </cell>
          <cell r="M99">
            <v>7000</v>
          </cell>
          <cell r="N99">
            <v>5000</v>
          </cell>
          <cell r="P99">
            <v>61000</v>
          </cell>
          <cell r="Q99">
            <v>61000</v>
          </cell>
        </row>
        <row r="100">
          <cell r="C100">
            <v>95</v>
          </cell>
          <cell r="D100" t="str">
            <v>T.BARREIRO</v>
          </cell>
          <cell r="E100" t="str">
            <v>VIGO</v>
          </cell>
          <cell r="F100">
            <v>210000</v>
          </cell>
          <cell r="G100">
            <v>0</v>
          </cell>
          <cell r="H100">
            <v>73000</v>
          </cell>
          <cell r="I100">
            <v>283000</v>
          </cell>
          <cell r="K100">
            <v>11000</v>
          </cell>
          <cell r="L100">
            <v>17000</v>
          </cell>
          <cell r="M100">
            <v>51000</v>
          </cell>
          <cell r="N100">
            <v>5000</v>
          </cell>
          <cell r="P100">
            <v>367000</v>
          </cell>
          <cell r="Q100">
            <v>250000</v>
          </cell>
        </row>
        <row r="101">
          <cell r="C101">
            <v>96</v>
          </cell>
          <cell r="D101" t="str">
            <v>T.JUAN XXIII</v>
          </cell>
          <cell r="E101" t="str">
            <v>CACERES</v>
          </cell>
          <cell r="F101">
            <v>0</v>
          </cell>
          <cell r="G101">
            <v>40000</v>
          </cell>
          <cell r="H101">
            <v>44000</v>
          </cell>
          <cell r="I101">
            <v>84000</v>
          </cell>
          <cell r="K101">
            <v>4000</v>
          </cell>
          <cell r="L101">
            <v>6000</v>
          </cell>
          <cell r="M101">
            <v>13000</v>
          </cell>
          <cell r="N101">
            <v>5000</v>
          </cell>
          <cell r="O101">
            <v>6000</v>
          </cell>
          <cell r="P101">
            <v>118000</v>
          </cell>
          <cell r="Q101">
            <v>118000</v>
          </cell>
        </row>
        <row r="102">
          <cell r="C102">
            <v>97</v>
          </cell>
          <cell r="D102" t="str">
            <v>TERSA</v>
          </cell>
          <cell r="E102" t="str">
            <v>IBIZA</v>
          </cell>
          <cell r="F102">
            <v>61000</v>
          </cell>
          <cell r="G102">
            <v>25000</v>
          </cell>
          <cell r="H102">
            <v>0</v>
          </cell>
          <cell r="I102">
            <v>86000</v>
          </cell>
          <cell r="K102">
            <v>5000</v>
          </cell>
          <cell r="L102">
            <v>8000</v>
          </cell>
          <cell r="M102">
            <v>21000</v>
          </cell>
          <cell r="N102">
            <v>0</v>
          </cell>
          <cell r="P102">
            <v>120000</v>
          </cell>
          <cell r="Q102">
            <v>120000</v>
          </cell>
        </row>
        <row r="103">
          <cell r="C103">
            <v>98</v>
          </cell>
          <cell r="D103" t="str">
            <v>T.VALIÑAS</v>
          </cell>
          <cell r="E103" t="str">
            <v>PONTEVEDRA</v>
          </cell>
          <cell r="F103">
            <v>0</v>
          </cell>
          <cell r="G103">
            <v>0</v>
          </cell>
          <cell r="H103">
            <v>52000</v>
          </cell>
          <cell r="I103">
            <v>52000</v>
          </cell>
          <cell r="K103">
            <v>6000</v>
          </cell>
          <cell r="L103">
            <v>9000</v>
          </cell>
          <cell r="M103">
            <v>9000</v>
          </cell>
          <cell r="N103">
            <v>0</v>
          </cell>
          <cell r="P103">
            <v>76000</v>
          </cell>
          <cell r="Q103">
            <v>76000</v>
          </cell>
        </row>
        <row r="104">
          <cell r="C104">
            <v>99</v>
          </cell>
          <cell r="D104" t="str">
            <v>TOPGUICAR</v>
          </cell>
          <cell r="E104" t="str">
            <v>SAN SEBASTIAN</v>
          </cell>
        </row>
        <row r="105">
          <cell r="C105">
            <v>100</v>
          </cell>
          <cell r="D105" t="str">
            <v>TORINO MOTOR</v>
          </cell>
          <cell r="E105" t="str">
            <v xml:space="preserve">MALAGA </v>
          </cell>
          <cell r="F105">
            <v>380000</v>
          </cell>
          <cell r="G105">
            <v>64000</v>
          </cell>
          <cell r="H105">
            <v>0</v>
          </cell>
          <cell r="I105">
            <v>444000</v>
          </cell>
          <cell r="K105">
            <v>8000</v>
          </cell>
          <cell r="L105">
            <v>40000</v>
          </cell>
          <cell r="M105">
            <v>49000</v>
          </cell>
          <cell r="N105">
            <v>50000</v>
          </cell>
          <cell r="P105">
            <v>591000</v>
          </cell>
          <cell r="Q105">
            <v>591000</v>
          </cell>
        </row>
        <row r="106">
          <cell r="C106">
            <v>101</v>
          </cell>
          <cell r="D106" t="str">
            <v>TOT AUTO LLEIDA</v>
          </cell>
          <cell r="E106" t="str">
            <v>LERIDA</v>
          </cell>
          <cell r="F106">
            <v>125000</v>
          </cell>
          <cell r="G106">
            <v>30000</v>
          </cell>
          <cell r="H106">
            <v>40000</v>
          </cell>
          <cell r="I106">
            <v>195000</v>
          </cell>
          <cell r="K106">
            <v>19000</v>
          </cell>
          <cell r="L106">
            <v>28000</v>
          </cell>
          <cell r="M106">
            <v>41000</v>
          </cell>
          <cell r="N106">
            <v>5000</v>
          </cell>
          <cell r="P106">
            <v>288000</v>
          </cell>
          <cell r="Q106">
            <v>288000</v>
          </cell>
        </row>
        <row r="107">
          <cell r="C107">
            <v>102</v>
          </cell>
          <cell r="D107" t="str">
            <v>TOVAHER</v>
          </cell>
          <cell r="E107" t="str">
            <v>TOLEDO</v>
          </cell>
          <cell r="F107">
            <v>143000</v>
          </cell>
          <cell r="G107">
            <v>0</v>
          </cell>
          <cell r="H107">
            <v>79000</v>
          </cell>
          <cell r="I107">
            <v>222000</v>
          </cell>
          <cell r="K107">
            <v>9000</v>
          </cell>
          <cell r="L107">
            <v>14000</v>
          </cell>
          <cell r="M107">
            <v>30000</v>
          </cell>
          <cell r="N107">
            <v>30000</v>
          </cell>
          <cell r="O107">
            <v>5000</v>
          </cell>
          <cell r="P107">
            <v>310000</v>
          </cell>
          <cell r="Q107">
            <v>310000</v>
          </cell>
        </row>
        <row r="108">
          <cell r="C108">
            <v>103</v>
          </cell>
          <cell r="D108" t="str">
            <v>TOXIAUTO</v>
          </cell>
          <cell r="E108" t="str">
            <v>TORREDONJIMENO</v>
          </cell>
          <cell r="F108">
            <v>80000</v>
          </cell>
          <cell r="G108">
            <v>50000</v>
          </cell>
          <cell r="H108">
            <v>0</v>
          </cell>
          <cell r="I108">
            <v>130000</v>
          </cell>
          <cell r="K108">
            <v>4000</v>
          </cell>
          <cell r="L108">
            <v>7000</v>
          </cell>
          <cell r="M108">
            <v>18500</v>
          </cell>
          <cell r="N108">
            <v>0</v>
          </cell>
          <cell r="P108">
            <v>159500</v>
          </cell>
          <cell r="Q108">
            <v>114000</v>
          </cell>
          <cell r="R108">
            <v>5000</v>
          </cell>
        </row>
        <row r="109">
          <cell r="C109">
            <v>104</v>
          </cell>
          <cell r="D109" t="str">
            <v>TURIAUTO</v>
          </cell>
          <cell r="E109" t="str">
            <v>SAN BOI</v>
          </cell>
          <cell r="F109">
            <v>232000</v>
          </cell>
          <cell r="G109">
            <v>34000</v>
          </cell>
          <cell r="H109">
            <v>80000</v>
          </cell>
          <cell r="I109">
            <v>346000</v>
          </cell>
          <cell r="K109">
            <v>29000</v>
          </cell>
          <cell r="L109">
            <v>44000</v>
          </cell>
          <cell r="M109">
            <v>83000</v>
          </cell>
          <cell r="N109">
            <v>5000</v>
          </cell>
          <cell r="P109">
            <v>507000</v>
          </cell>
          <cell r="Q109">
            <v>507000</v>
          </cell>
        </row>
        <row r="110">
          <cell r="C110">
            <v>105</v>
          </cell>
          <cell r="D110" t="str">
            <v>TURIMOTOR</v>
          </cell>
          <cell r="E110" t="str">
            <v>CALAHORRA</v>
          </cell>
          <cell r="F110">
            <v>50000</v>
          </cell>
          <cell r="G110">
            <v>30000</v>
          </cell>
          <cell r="H110">
            <v>0</v>
          </cell>
          <cell r="I110">
            <v>80000</v>
          </cell>
          <cell r="K110">
            <v>6000</v>
          </cell>
          <cell r="L110">
            <v>8000</v>
          </cell>
          <cell r="M110">
            <v>15000</v>
          </cell>
          <cell r="N110">
            <v>0</v>
          </cell>
          <cell r="P110">
            <v>109000</v>
          </cell>
          <cell r="Q110">
            <v>109000</v>
          </cell>
        </row>
        <row r="111">
          <cell r="C111">
            <v>106</v>
          </cell>
          <cell r="D111" t="str">
            <v>URBI MOTOR</v>
          </cell>
          <cell r="E111" t="str">
            <v>BASAURI</v>
          </cell>
          <cell r="F111">
            <v>100000</v>
          </cell>
          <cell r="G111">
            <v>0</v>
          </cell>
          <cell r="H111">
            <v>0</v>
          </cell>
          <cell r="I111">
            <v>100000</v>
          </cell>
          <cell r="K111">
            <v>7000</v>
          </cell>
          <cell r="L111">
            <v>11000</v>
          </cell>
          <cell r="M111">
            <v>15000</v>
          </cell>
          <cell r="N111">
            <v>5000</v>
          </cell>
          <cell r="O111">
            <v>5000</v>
          </cell>
          <cell r="P111">
            <v>143000</v>
          </cell>
          <cell r="Q111">
            <v>143000</v>
          </cell>
        </row>
        <row r="112">
          <cell r="C112">
            <v>107</v>
          </cell>
          <cell r="D112" t="str">
            <v>VAGMA</v>
          </cell>
          <cell r="E112" t="str">
            <v>MADRID</v>
          </cell>
          <cell r="F112">
            <v>200000</v>
          </cell>
          <cell r="G112">
            <v>100000</v>
          </cell>
          <cell r="H112">
            <v>100000</v>
          </cell>
          <cell r="I112">
            <v>400000</v>
          </cell>
          <cell r="K112">
            <v>39000</v>
          </cell>
          <cell r="L112">
            <v>59000</v>
          </cell>
          <cell r="M112">
            <v>170000</v>
          </cell>
          <cell r="N112">
            <v>35000</v>
          </cell>
          <cell r="O112">
            <v>50000</v>
          </cell>
          <cell r="P112">
            <v>753000</v>
          </cell>
          <cell r="Q112">
            <v>753000</v>
          </cell>
        </row>
        <row r="113">
          <cell r="C113">
            <v>108</v>
          </cell>
          <cell r="D113" t="str">
            <v>VALLES MOTOR II</v>
          </cell>
          <cell r="E113" t="str">
            <v>GRANOLLERS</v>
          </cell>
          <cell r="F113">
            <v>160000</v>
          </cell>
          <cell r="G113">
            <v>40000</v>
          </cell>
          <cell r="H113">
            <v>58000</v>
          </cell>
          <cell r="I113">
            <v>258000</v>
          </cell>
          <cell r="K113">
            <v>26000</v>
          </cell>
          <cell r="L113">
            <v>40000</v>
          </cell>
          <cell r="M113">
            <v>55000</v>
          </cell>
          <cell r="N113">
            <v>6000</v>
          </cell>
          <cell r="P113">
            <v>385000</v>
          </cell>
          <cell r="Q113">
            <v>310000</v>
          </cell>
          <cell r="R113">
            <v>20000</v>
          </cell>
        </row>
        <row r="114">
          <cell r="C114">
            <v>109</v>
          </cell>
          <cell r="D114" t="str">
            <v>VEH.IND.ARME</v>
          </cell>
          <cell r="E114" t="str">
            <v>VITORIA</v>
          </cell>
          <cell r="F114">
            <v>70000</v>
          </cell>
          <cell r="G114">
            <v>0</v>
          </cell>
          <cell r="H114">
            <v>0</v>
          </cell>
          <cell r="I114">
            <v>70000</v>
          </cell>
          <cell r="K114">
            <v>8000</v>
          </cell>
          <cell r="L114">
            <v>12000</v>
          </cell>
          <cell r="M114">
            <v>16000</v>
          </cell>
          <cell r="N114">
            <v>10000</v>
          </cell>
          <cell r="P114">
            <v>116000</v>
          </cell>
          <cell r="Q114">
            <v>116000</v>
          </cell>
        </row>
        <row r="115">
          <cell r="C115">
            <v>110</v>
          </cell>
          <cell r="D115" t="str">
            <v>VELCONI</v>
          </cell>
          <cell r="E115" t="str">
            <v>ZARAGOZA</v>
          </cell>
          <cell r="F115">
            <v>155000</v>
          </cell>
          <cell r="G115">
            <v>60000</v>
          </cell>
          <cell r="H115">
            <v>0</v>
          </cell>
          <cell r="I115">
            <v>215000</v>
          </cell>
          <cell r="J115">
            <v>55000</v>
          </cell>
          <cell r="K115">
            <v>14000</v>
          </cell>
          <cell r="L115">
            <v>21000</v>
          </cell>
          <cell r="M115">
            <v>47000</v>
          </cell>
          <cell r="N115">
            <v>20000</v>
          </cell>
          <cell r="P115">
            <v>372000</v>
          </cell>
          <cell r="Q115">
            <v>372000</v>
          </cell>
        </row>
        <row r="116">
          <cell r="C116">
            <v>111</v>
          </cell>
          <cell r="D116" t="str">
            <v>VIACAR</v>
          </cell>
          <cell r="E116" t="str">
            <v>VIGO</v>
          </cell>
          <cell r="F116">
            <v>82000</v>
          </cell>
          <cell r="G116">
            <v>85000</v>
          </cell>
          <cell r="H116">
            <v>0</v>
          </cell>
          <cell r="I116">
            <v>167000</v>
          </cell>
          <cell r="K116">
            <v>3000</v>
          </cell>
          <cell r="L116">
            <v>4000</v>
          </cell>
          <cell r="M116">
            <v>20000</v>
          </cell>
          <cell r="N116">
            <v>5000</v>
          </cell>
          <cell r="P116">
            <v>199000</v>
          </cell>
          <cell r="Q116">
            <v>44795</v>
          </cell>
        </row>
        <row r="117">
          <cell r="C117">
            <v>112</v>
          </cell>
          <cell r="D117" t="str">
            <v>VELA MURILLO</v>
          </cell>
          <cell r="E117" t="str">
            <v>TENERIFE</v>
          </cell>
          <cell r="F117">
            <v>0</v>
          </cell>
          <cell r="G117">
            <v>0</v>
          </cell>
          <cell r="H117">
            <v>120000</v>
          </cell>
          <cell r="I117">
            <v>120000</v>
          </cell>
          <cell r="K117">
            <v>10000</v>
          </cell>
          <cell r="L117">
            <v>15000</v>
          </cell>
          <cell r="M117">
            <v>25000</v>
          </cell>
          <cell r="N117">
            <v>0</v>
          </cell>
          <cell r="P117">
            <v>170000</v>
          </cell>
          <cell r="Q117">
            <v>170000</v>
          </cell>
        </row>
        <row r="118">
          <cell r="C118">
            <v>113</v>
          </cell>
          <cell r="D118" t="str">
            <v>ZARATECNO</v>
          </cell>
          <cell r="E118" t="str">
            <v>ZARAGOZA</v>
          </cell>
          <cell r="F118">
            <v>0</v>
          </cell>
          <cell r="G118">
            <v>0</v>
          </cell>
          <cell r="H118">
            <v>152000</v>
          </cell>
          <cell r="I118">
            <v>152000</v>
          </cell>
          <cell r="K118">
            <v>10000</v>
          </cell>
          <cell r="L118">
            <v>15000</v>
          </cell>
          <cell r="M118">
            <v>20000</v>
          </cell>
          <cell r="N118">
            <v>5000</v>
          </cell>
          <cell r="O118">
            <v>10000</v>
          </cell>
          <cell r="P118">
            <v>212000</v>
          </cell>
          <cell r="Q118">
            <v>212000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ut Manual"/>
      <sheetName val="Comite Crédito FF"/>
      <sheetName val="Comite Crédito Finplus"/>
      <sheetName val="Dealers"/>
      <sheetName val="Sociedades Finplus"/>
      <sheetName val="Balance"/>
      <sheetName val="Balance Finplus"/>
      <sheetName val="Plafones Autorizados"/>
      <sheetName val="Plafones Actuales"/>
      <sheetName val="Garantias"/>
      <sheetName val="Utilizados"/>
      <sheetName val="Datos Utiliz"/>
      <sheetName val="Cuota"/>
      <sheetName val="hipotecas"/>
    </sheetNames>
    <sheetDataSet>
      <sheetData sheetId="0" refreshError="1"/>
      <sheetData sheetId="1" refreshError="1"/>
      <sheetData sheetId="2" refreshError="1"/>
      <sheetData sheetId="3" refreshError="1">
        <row r="1">
          <cell r="A1" t="str">
            <v>NOMBRE_DEALER</v>
          </cell>
          <cell r="C1" t="str">
            <v>NIF_DEALER_base</v>
          </cell>
        </row>
        <row r="2">
          <cell r="A2" t="str">
            <v>A. CAMPOS AUTOMOVILES, S.A.</v>
          </cell>
          <cell r="C2" t="str">
            <v xml:space="preserve">A046568671 </v>
          </cell>
        </row>
        <row r="3">
          <cell r="A3" t="str">
            <v>AGUIAUTO, S.L.</v>
          </cell>
          <cell r="C3" t="str">
            <v xml:space="preserve">B044013563 </v>
          </cell>
        </row>
        <row r="4">
          <cell r="A4" t="str">
            <v>ALFIBIZA, S.A.</v>
          </cell>
          <cell r="C4" t="str">
            <v xml:space="preserve">A007542343 </v>
          </cell>
        </row>
        <row r="5">
          <cell r="A5" t="str">
            <v>ALIMOTOR, S.A.</v>
          </cell>
          <cell r="C5" t="str">
            <v xml:space="preserve">A003303609 </v>
          </cell>
        </row>
        <row r="6">
          <cell r="A6" t="str">
            <v>ALONSO VARA MOTOR, S.A.</v>
          </cell>
          <cell r="C6" t="str">
            <v xml:space="preserve">A049163058 </v>
          </cell>
        </row>
        <row r="7">
          <cell r="A7" t="str">
            <v>ANDALCAR MOTOR, S.L.</v>
          </cell>
          <cell r="C7" t="str">
            <v xml:space="preserve">B082206301 </v>
          </cell>
        </row>
        <row r="8">
          <cell r="A8" t="str">
            <v>ANDALCAR MOTOR, S.L.</v>
          </cell>
          <cell r="C8" t="str">
            <v xml:space="preserve">B082206301 </v>
          </cell>
        </row>
        <row r="9">
          <cell r="A9" t="str">
            <v>ANTONIO NAVARRO AUTOMOCION,S.A</v>
          </cell>
          <cell r="C9" t="str">
            <v xml:space="preserve">A030141410 </v>
          </cell>
        </row>
        <row r="10">
          <cell r="A10" t="str">
            <v>APV MOTOR, S.A.</v>
          </cell>
          <cell r="C10" t="str">
            <v xml:space="preserve">A015396864 </v>
          </cell>
        </row>
        <row r="11">
          <cell r="A11" t="str">
            <v>ARANZAUTO, S.A.</v>
          </cell>
          <cell r="C11" t="str">
            <v xml:space="preserve">A050342047 </v>
          </cell>
        </row>
        <row r="12">
          <cell r="A12" t="str">
            <v>ASCAUTO, S.A.</v>
          </cell>
          <cell r="C12" t="str">
            <v xml:space="preserve">A079668307 </v>
          </cell>
        </row>
        <row r="13">
          <cell r="A13" t="str">
            <v>AUTO BRAVA, S.A.</v>
          </cell>
          <cell r="C13" t="str">
            <v xml:space="preserve">A017106832 </v>
          </cell>
        </row>
        <row r="14">
          <cell r="A14" t="str">
            <v>AUTO FORMULA, S.L.</v>
          </cell>
          <cell r="C14" t="str">
            <v xml:space="preserve">B009092248 </v>
          </cell>
        </row>
        <row r="15">
          <cell r="A15" t="str">
            <v>AUTO GIULIETTA MOTOR, S.A.</v>
          </cell>
          <cell r="C15" t="str">
            <v xml:space="preserve">A053566543 </v>
          </cell>
        </row>
        <row r="16">
          <cell r="A16" t="str">
            <v>AUTO OCHENTA Y OCHO, S.A.</v>
          </cell>
          <cell r="C16" t="str">
            <v xml:space="preserve">A058061573 </v>
          </cell>
        </row>
        <row r="17">
          <cell r="A17" t="str">
            <v>AUTO PUNTO, S.A.</v>
          </cell>
          <cell r="C17" t="str">
            <v xml:space="preserve">A023318678 </v>
          </cell>
        </row>
        <row r="18">
          <cell r="A18" t="str">
            <v>AUTO RECAMBIOS UNION, S.A.</v>
          </cell>
          <cell r="C18" t="str">
            <v xml:space="preserve">A007058134 </v>
          </cell>
        </row>
        <row r="19">
          <cell r="A19" t="str">
            <v>AUTO SALON ALMERIA, S.A.</v>
          </cell>
          <cell r="C19" t="str">
            <v xml:space="preserve">A004147088 </v>
          </cell>
        </row>
        <row r="20">
          <cell r="A20" t="str">
            <v>AUTO SERVEI LANCIA</v>
          </cell>
          <cell r="C20" t="str">
            <v xml:space="preserve"> 000901284C</v>
          </cell>
        </row>
        <row r="21">
          <cell r="A21" t="str">
            <v>AUTOACEVEDO, S.A.</v>
          </cell>
          <cell r="C21" t="str">
            <v xml:space="preserve">A024063646 </v>
          </cell>
        </row>
        <row r="22">
          <cell r="A22" t="str">
            <v>AUTOAN, S.A.</v>
          </cell>
          <cell r="C22" t="str">
            <v xml:space="preserve">A078636073 </v>
          </cell>
        </row>
        <row r="23">
          <cell r="A23" t="str">
            <v>AUTOJUCAR, S.A.</v>
          </cell>
          <cell r="C23" t="str">
            <v xml:space="preserve">A047212899 </v>
          </cell>
        </row>
        <row r="24">
          <cell r="A24" t="str">
            <v>AUTOLATINA, S.A.</v>
          </cell>
          <cell r="C24" t="str">
            <v xml:space="preserve">A007295058 </v>
          </cell>
        </row>
        <row r="25">
          <cell r="A25" t="str">
            <v>AUTOMATEO, S.L.</v>
          </cell>
          <cell r="C25" t="str">
            <v xml:space="preserve">B042126953 </v>
          </cell>
        </row>
        <row r="26">
          <cell r="A26" t="str">
            <v>AUTOMEDITERRANEO, S.A.</v>
          </cell>
          <cell r="C26" t="str">
            <v xml:space="preserve">A003406550 </v>
          </cell>
        </row>
        <row r="27">
          <cell r="A27" t="str">
            <v>AUTOMOCION MACHUCA, S.A.</v>
          </cell>
          <cell r="C27" t="str">
            <v xml:space="preserve">A078884178 </v>
          </cell>
        </row>
        <row r="28">
          <cell r="A28" t="str">
            <v>AUTOMOCIONES BLANCO, S.L.</v>
          </cell>
          <cell r="C28" t="str">
            <v xml:space="preserve">B080158058 </v>
          </cell>
        </row>
        <row r="29">
          <cell r="A29" t="str">
            <v>AUTOMOVILES CARNICER, S.A.</v>
          </cell>
          <cell r="C29" t="str">
            <v xml:space="preserve">A078340262 </v>
          </cell>
        </row>
        <row r="30">
          <cell r="A30" t="str">
            <v>AUTOMOVILES CERVERA, S.A.</v>
          </cell>
          <cell r="C30" t="str">
            <v xml:space="preserve">A005033725 </v>
          </cell>
        </row>
        <row r="31">
          <cell r="A31" t="str">
            <v>AUTOMOVILES J.J., S.L.</v>
          </cell>
          <cell r="C31" t="str">
            <v xml:space="preserve">B024023186 </v>
          </cell>
        </row>
        <row r="32">
          <cell r="A32" t="str">
            <v>AUTOMOVILES NEMESIO, S.A.</v>
          </cell>
          <cell r="C32" t="str">
            <v xml:space="preserve">A046394656 </v>
          </cell>
        </row>
        <row r="33">
          <cell r="A33" t="str">
            <v>AUTOS AI, S.A.</v>
          </cell>
          <cell r="C33" t="str">
            <v xml:space="preserve">A048190789 </v>
          </cell>
        </row>
        <row r="34">
          <cell r="A34" t="str">
            <v>AUTOS MARTORELL, S.A.</v>
          </cell>
          <cell r="C34" t="str">
            <v xml:space="preserve">A007437312 </v>
          </cell>
        </row>
        <row r="35">
          <cell r="A35" t="str">
            <v>AUTOVENTA MANACOR, S.L.</v>
          </cell>
          <cell r="C35" t="str">
            <v xml:space="preserve">B007400740 </v>
          </cell>
        </row>
        <row r="36">
          <cell r="A36" t="str">
            <v>BALMES INTERMOTOR, S.L.</v>
          </cell>
          <cell r="C36" t="str">
            <v xml:space="preserve">B059422220 </v>
          </cell>
        </row>
        <row r="37">
          <cell r="A37" t="str">
            <v>CARMAUTO, S.A.</v>
          </cell>
          <cell r="C37" t="str">
            <v xml:space="preserve">A029656535 </v>
          </cell>
        </row>
        <row r="38">
          <cell r="A38" t="str">
            <v>CARRERA MOTOR, S.A.</v>
          </cell>
          <cell r="C38" t="str">
            <v xml:space="preserve">A039295514 </v>
          </cell>
        </row>
        <row r="39">
          <cell r="A39" t="str">
            <v>CIA.IMP.AUTO.ACC.MELILLA, S.A.</v>
          </cell>
          <cell r="C39" t="str">
            <v xml:space="preserve">A029901386 </v>
          </cell>
        </row>
        <row r="40">
          <cell r="A40" t="str">
            <v>CIBRAUTO, S.A.</v>
          </cell>
          <cell r="C40" t="str">
            <v xml:space="preserve">A032108292 </v>
          </cell>
        </row>
        <row r="41">
          <cell r="A41" t="str">
            <v>CIFISA, S.A.</v>
          </cell>
          <cell r="C41" t="str">
            <v xml:space="preserve">A013052451 </v>
          </cell>
        </row>
        <row r="42">
          <cell r="A42" t="str">
            <v>CIMEX AUTO, S.L.</v>
          </cell>
          <cell r="C42" t="str">
            <v xml:space="preserve"> 000915319L</v>
          </cell>
        </row>
        <row r="43">
          <cell r="A43" t="str">
            <v>COFIA, S.L.</v>
          </cell>
          <cell r="C43" t="str">
            <v xml:space="preserve">B033122888 </v>
          </cell>
        </row>
        <row r="44">
          <cell r="A44" t="str">
            <v>COMER. OSCENSE AUTOMOVIL, S.A.</v>
          </cell>
          <cell r="C44" t="str">
            <v xml:space="preserve">A022045397 </v>
          </cell>
        </row>
        <row r="45">
          <cell r="A45" t="str">
            <v>CONCECAR S.A.</v>
          </cell>
          <cell r="C45" t="str">
            <v xml:space="preserve">A078491016 </v>
          </cell>
        </row>
        <row r="46">
          <cell r="A46" t="str">
            <v>DAFAL AUTOMOVIL I, S.A.</v>
          </cell>
          <cell r="C46" t="str">
            <v xml:space="preserve">A041951146 </v>
          </cell>
        </row>
        <row r="47">
          <cell r="A47" t="str">
            <v>DELTAVI, S.A.</v>
          </cell>
          <cell r="C47" t="str">
            <v xml:space="preserve">A001038421 </v>
          </cell>
        </row>
        <row r="48">
          <cell r="A48" t="str">
            <v>DISTRIB. FABRI. ITALIANS, S.A.</v>
          </cell>
          <cell r="C48" t="str">
            <v xml:space="preserve">A008782625 </v>
          </cell>
        </row>
        <row r="49">
          <cell r="A49" t="str">
            <v>DOBEL AUTO, S.A.</v>
          </cell>
          <cell r="C49" t="str">
            <v xml:space="preserve">A048432579 </v>
          </cell>
        </row>
        <row r="50">
          <cell r="A50" t="str">
            <v>DRAGON CANARIAS, S.A.</v>
          </cell>
          <cell r="C50" t="str">
            <v xml:space="preserve">A035024819 </v>
          </cell>
        </row>
        <row r="51">
          <cell r="A51" t="str">
            <v>EGARA MOTOR, S.A.</v>
          </cell>
          <cell r="C51" t="str">
            <v xml:space="preserve">A058272089 </v>
          </cell>
        </row>
        <row r="52">
          <cell r="A52" t="str">
            <v>FAZMOTOR, S.L.</v>
          </cell>
          <cell r="C52" t="str">
            <v xml:space="preserve">B003505724 </v>
          </cell>
        </row>
        <row r="53">
          <cell r="A53" t="str">
            <v>FIATEIRA MOTOR, S.A.</v>
          </cell>
          <cell r="C53" t="str">
            <v xml:space="preserve">A015596489 </v>
          </cell>
        </row>
        <row r="54">
          <cell r="A54" t="str">
            <v>FIDAUTO, S.L.</v>
          </cell>
          <cell r="C54" t="str">
            <v xml:space="preserve">B036115111 </v>
          </cell>
        </row>
        <row r="55">
          <cell r="A55" t="str">
            <v>FIMALAGA, S.A.</v>
          </cell>
          <cell r="C55" t="str">
            <v xml:space="preserve">A029485398 </v>
          </cell>
        </row>
        <row r="56">
          <cell r="A56" t="str">
            <v>FISAGA, S.A.</v>
          </cell>
          <cell r="C56" t="str">
            <v xml:space="preserve">A011055407 </v>
          </cell>
        </row>
        <row r="57">
          <cell r="A57" t="str">
            <v>FISUR, S.A.</v>
          </cell>
          <cell r="C57" t="str">
            <v xml:space="preserve">A021031133 </v>
          </cell>
        </row>
        <row r="58">
          <cell r="A58" t="str">
            <v>FLICK EXTREMADURA, S.A.</v>
          </cell>
          <cell r="C58" t="str">
            <v xml:space="preserve">A035485127 </v>
          </cell>
        </row>
        <row r="59">
          <cell r="A59" t="str">
            <v>FLICK TENERIFE, S.A.</v>
          </cell>
          <cell r="C59" t="str">
            <v xml:space="preserve">A038525630 </v>
          </cell>
        </row>
        <row r="60">
          <cell r="A60" t="str">
            <v>FLORENCIO PRADO IGLESIAS</v>
          </cell>
          <cell r="C60" t="str">
            <v xml:space="preserve"> 007693288H</v>
          </cell>
        </row>
        <row r="61">
          <cell r="A61" t="str">
            <v>GARAJE SALA, S.A.</v>
          </cell>
          <cell r="C61" t="str">
            <v xml:space="preserve">A017085713 </v>
          </cell>
        </row>
        <row r="62">
          <cell r="A62" t="str">
            <v>GARAT. INT. ROBERT VIDAL, S.A.</v>
          </cell>
          <cell r="C62" t="str">
            <v xml:space="preserve">A017094996 </v>
          </cell>
        </row>
        <row r="63">
          <cell r="A63" t="str">
            <v>GARCIA RODRIGUEZ MOTOR, S.A.</v>
          </cell>
          <cell r="C63" t="str">
            <v xml:space="preserve">A033541152 </v>
          </cell>
        </row>
        <row r="64">
          <cell r="A64" t="str">
            <v>GRANDI CENTRI III, S.A.</v>
          </cell>
          <cell r="C64" t="str">
            <v xml:space="preserve">A007807720 </v>
          </cell>
        </row>
        <row r="65">
          <cell r="A65" t="str">
            <v>HOGEI, S.A.</v>
          </cell>
          <cell r="C65" t="str">
            <v xml:space="preserve">A020148730 </v>
          </cell>
        </row>
        <row r="66">
          <cell r="A66" t="str">
            <v>HUECAR MOTOR, S.A.</v>
          </cell>
          <cell r="C66" t="str">
            <v xml:space="preserve">A016179145 </v>
          </cell>
        </row>
        <row r="67">
          <cell r="A67" t="str">
            <v>IMOLA, S.A.</v>
          </cell>
          <cell r="C67" t="str">
            <v xml:space="preserve">A012059432 </v>
          </cell>
        </row>
        <row r="68">
          <cell r="A68" t="str">
            <v>INTERNAC. DE AUTOMOVILES, S.A.</v>
          </cell>
          <cell r="C68" t="str">
            <v xml:space="preserve">A038043485 </v>
          </cell>
        </row>
        <row r="69">
          <cell r="A69" t="str">
            <v>ITALSOL MOTORS III, S.A.</v>
          </cell>
          <cell r="C69" t="str">
            <v xml:space="preserve">A061360269 </v>
          </cell>
        </row>
        <row r="70">
          <cell r="A70" t="str">
            <v>J. GUELL, S.A.</v>
          </cell>
          <cell r="C70" t="str">
            <v xml:space="preserve">A058598533 </v>
          </cell>
        </row>
        <row r="71">
          <cell r="A71" t="str">
            <v>LIDERCAR DOS MIL, S.A.</v>
          </cell>
          <cell r="C71" t="str">
            <v xml:space="preserve">A078360765 </v>
          </cell>
        </row>
        <row r="72">
          <cell r="A72" t="str">
            <v>LOGROMOTOR, S.A.</v>
          </cell>
          <cell r="C72" t="str">
            <v xml:space="preserve">A026191270 </v>
          </cell>
        </row>
        <row r="73">
          <cell r="A73" t="str">
            <v>LUCECAR, S.A.</v>
          </cell>
          <cell r="C73" t="str">
            <v xml:space="preserve">A014112023 </v>
          </cell>
        </row>
        <row r="74">
          <cell r="A74" t="str">
            <v>LUGOCAR, S.L.</v>
          </cell>
          <cell r="C74" t="str">
            <v xml:space="preserve">B027020809 </v>
          </cell>
        </row>
        <row r="75">
          <cell r="A75" t="str">
            <v>MANRESAUTO, S.A.</v>
          </cell>
          <cell r="C75" t="str">
            <v xml:space="preserve">A008785321 </v>
          </cell>
        </row>
        <row r="76">
          <cell r="A76" t="str">
            <v>MARESME MOVIL, S.A.</v>
          </cell>
          <cell r="C76" t="str">
            <v xml:space="preserve">A008962722 </v>
          </cell>
        </row>
        <row r="77">
          <cell r="A77" t="str">
            <v>MEDANSA, S.A.</v>
          </cell>
          <cell r="C77" t="str">
            <v xml:space="preserve">A031095078 </v>
          </cell>
        </row>
        <row r="78">
          <cell r="A78" t="str">
            <v>MERIDIANA MOTORS, S.A.</v>
          </cell>
          <cell r="C78" t="str">
            <v xml:space="preserve">A058292723 </v>
          </cell>
        </row>
        <row r="79">
          <cell r="A79" t="str">
            <v>MINICAR PONS, S.A.</v>
          </cell>
          <cell r="C79" t="str">
            <v xml:space="preserve">A043042274 </v>
          </cell>
        </row>
        <row r="80">
          <cell r="A80" t="str">
            <v>MOTOR 23, S.A.</v>
          </cell>
          <cell r="C80" t="str">
            <v xml:space="preserve">A043042530 </v>
          </cell>
        </row>
        <row r="81">
          <cell r="A81" t="str">
            <v>MOTOR CARMA, S.A.</v>
          </cell>
          <cell r="C81" t="str">
            <v xml:space="preserve">A003290830 </v>
          </cell>
        </row>
        <row r="82">
          <cell r="A82" t="str">
            <v>MOTOR CARTAGENA, S.A.</v>
          </cell>
          <cell r="C82" t="str">
            <v xml:space="preserve">A030627293 </v>
          </cell>
        </row>
        <row r="83">
          <cell r="A83" t="str">
            <v>MOTOR DOS, S.A.</v>
          </cell>
          <cell r="C83" t="str">
            <v xml:space="preserve">A018072025 </v>
          </cell>
        </row>
        <row r="84">
          <cell r="A84" t="str">
            <v>MOTORCAN, S.L.</v>
          </cell>
          <cell r="C84" t="str">
            <v xml:space="preserve">B035018548 </v>
          </cell>
        </row>
        <row r="85">
          <cell r="A85" t="str">
            <v>MOVIL AUTOPETREL, S.A.</v>
          </cell>
          <cell r="C85" t="str">
            <v xml:space="preserve">A003252186 </v>
          </cell>
        </row>
        <row r="86">
          <cell r="A86" t="str">
            <v>MULTIPOINT MADRID 3, S.A.</v>
          </cell>
          <cell r="C86" t="str">
            <v xml:space="preserve">A081569121 </v>
          </cell>
        </row>
        <row r="87">
          <cell r="A87" t="str">
            <v>MURCIANA DE TRACTORES, S.A.</v>
          </cell>
          <cell r="C87" t="str">
            <v xml:space="preserve">A030014591 </v>
          </cell>
        </row>
        <row r="88">
          <cell r="A88" t="str">
            <v>NITRAM 2000, S.L.</v>
          </cell>
          <cell r="C88" t="str">
            <v xml:space="preserve">B024389462 </v>
          </cell>
        </row>
        <row r="89">
          <cell r="A89" t="str">
            <v>PIQUER TURISMOS, S.L.</v>
          </cell>
          <cell r="C89" t="str">
            <v xml:space="preserve">B004125217 </v>
          </cell>
        </row>
        <row r="90">
          <cell r="A90" t="str">
            <v>RAMARGO, S.A.</v>
          </cell>
          <cell r="C90" t="str">
            <v xml:space="preserve">A078512084 </v>
          </cell>
        </row>
        <row r="91">
          <cell r="A91" t="str">
            <v>REPARAUTO MOTOR, S.A.</v>
          </cell>
          <cell r="C91" t="str">
            <v xml:space="preserve">A078584075 </v>
          </cell>
        </row>
        <row r="92">
          <cell r="A92" t="str">
            <v>ROMARESME CONCESIONARI, S.A.</v>
          </cell>
          <cell r="C92" t="str">
            <v xml:space="preserve">A062619333 </v>
          </cell>
        </row>
        <row r="93">
          <cell r="A93" t="str">
            <v>SETAMOVIL, S.A.</v>
          </cell>
          <cell r="C93" t="str">
            <v xml:space="preserve">A046448585 </v>
          </cell>
        </row>
        <row r="94">
          <cell r="A94" t="str">
            <v>SIMPSON CENTRO, S.A.</v>
          </cell>
          <cell r="C94" t="str">
            <v xml:space="preserve">A028890333 </v>
          </cell>
        </row>
        <row r="95">
          <cell r="A95" t="str">
            <v>SIMPSON, S.A.</v>
          </cell>
          <cell r="C95" t="str">
            <v xml:space="preserve">A028585412 </v>
          </cell>
        </row>
        <row r="96">
          <cell r="A96" t="str">
            <v>STAZME, S.L.</v>
          </cell>
          <cell r="C96" t="str">
            <v xml:space="preserve">B026101634 </v>
          </cell>
        </row>
        <row r="97">
          <cell r="A97" t="str">
            <v>TALLERES BARREIRO VIGO, S.L.</v>
          </cell>
          <cell r="C97" t="str">
            <v xml:space="preserve">B036648673 </v>
          </cell>
        </row>
        <row r="98">
          <cell r="A98" t="str">
            <v>TALLERES VALIÑAS, S.L.</v>
          </cell>
          <cell r="C98" t="str">
            <v xml:space="preserve">B036009280 </v>
          </cell>
        </row>
        <row r="99">
          <cell r="A99" t="str">
            <v>TECNOCAR CANARIAS, S.A.</v>
          </cell>
          <cell r="C99" t="str">
            <v xml:space="preserve">A035000157 </v>
          </cell>
        </row>
        <row r="100">
          <cell r="A100" t="str">
            <v>TECNOMARINA ROSELLO, S.A.</v>
          </cell>
          <cell r="C100" t="str">
            <v xml:space="preserve">A007106305 </v>
          </cell>
        </row>
        <row r="101">
          <cell r="A101" t="str">
            <v>TOPGUICAR, S.L.</v>
          </cell>
          <cell r="C101" t="str">
            <v xml:space="preserve">B020683058 </v>
          </cell>
        </row>
        <row r="102">
          <cell r="A102" t="str">
            <v>TORINO MOTOR, S.A.</v>
          </cell>
          <cell r="C102" t="str">
            <v xml:space="preserve">A029709581 </v>
          </cell>
        </row>
        <row r="103">
          <cell r="A103" t="str">
            <v>TOT AUTO LLEIDA, S.A.</v>
          </cell>
          <cell r="C103" t="str">
            <v xml:space="preserve">A025323015 </v>
          </cell>
        </row>
        <row r="104">
          <cell r="A104" t="str">
            <v>TOVAHER, S.A.</v>
          </cell>
          <cell r="C104" t="str">
            <v xml:space="preserve">A045310729 </v>
          </cell>
        </row>
        <row r="105">
          <cell r="A105" t="str">
            <v>TOXIAUTO, S.L.</v>
          </cell>
          <cell r="C105" t="str">
            <v xml:space="preserve">B023266695 </v>
          </cell>
        </row>
        <row r="106">
          <cell r="A106" t="str">
            <v>TURIAUTO, S.A.</v>
          </cell>
          <cell r="C106" t="str">
            <v xml:space="preserve">A058305996 </v>
          </cell>
        </row>
        <row r="107">
          <cell r="A107" t="str">
            <v>TURIMOTOR, S.L.</v>
          </cell>
          <cell r="C107" t="str">
            <v xml:space="preserve">B026183293 </v>
          </cell>
        </row>
        <row r="108">
          <cell r="A108" t="str">
            <v>URBI MOTOR, S.A.</v>
          </cell>
          <cell r="C108" t="str">
            <v xml:space="preserve">A048451447 </v>
          </cell>
        </row>
        <row r="109">
          <cell r="A109" t="str">
            <v>VAGMA, S.A.</v>
          </cell>
          <cell r="C109" t="str">
            <v xml:space="preserve">A028708667 </v>
          </cell>
        </row>
        <row r="110">
          <cell r="A110" t="str">
            <v>VALLES MOTOR II, S.L.</v>
          </cell>
          <cell r="C110" t="str">
            <v xml:space="preserve">B059336628 </v>
          </cell>
        </row>
        <row r="111">
          <cell r="A111" t="str">
            <v>VEHIC. INDUSTRIALES ARME, S.A.</v>
          </cell>
          <cell r="C111" t="str">
            <v xml:space="preserve">A001034503 </v>
          </cell>
        </row>
        <row r="112">
          <cell r="A112" t="str">
            <v>VELCONI, S.A.</v>
          </cell>
          <cell r="C112" t="str">
            <v xml:space="preserve">A050171040 </v>
          </cell>
        </row>
        <row r="113">
          <cell r="A113" t="str">
            <v>VIA COMERCIAL AUTOMOVILES, S.A</v>
          </cell>
          <cell r="C113" t="str">
            <v xml:space="preserve">A036626208 </v>
          </cell>
        </row>
        <row r="114">
          <cell r="A114" t="str">
            <v>ZARATECNO, S.A.</v>
          </cell>
          <cell r="C114" t="str">
            <v xml:space="preserve">A050468875 </v>
          </cell>
        </row>
        <row r="115">
          <cell r="C115">
            <v>0</v>
          </cell>
        </row>
        <row r="116">
          <cell r="C116">
            <v>0</v>
          </cell>
        </row>
        <row r="117">
          <cell r="C117">
            <v>0</v>
          </cell>
        </row>
        <row r="118">
          <cell r="C118">
            <v>0</v>
          </cell>
        </row>
        <row r="119">
          <cell r="C119">
            <v>0</v>
          </cell>
        </row>
        <row r="120">
          <cell r="C120">
            <v>0</v>
          </cell>
        </row>
        <row r="121">
          <cell r="C121">
            <v>0</v>
          </cell>
        </row>
        <row r="122">
          <cell r="C122">
            <v>0</v>
          </cell>
        </row>
        <row r="123">
          <cell r="C123">
            <v>0</v>
          </cell>
        </row>
        <row r="124">
          <cell r="C124">
            <v>0</v>
          </cell>
        </row>
        <row r="125">
          <cell r="C125">
            <v>0</v>
          </cell>
        </row>
        <row r="126">
          <cell r="C126">
            <v>0</v>
          </cell>
        </row>
        <row r="127">
          <cell r="C127">
            <v>0</v>
          </cell>
        </row>
        <row r="128">
          <cell r="C128">
            <v>0</v>
          </cell>
        </row>
        <row r="129">
          <cell r="C129">
            <v>0</v>
          </cell>
        </row>
        <row r="130">
          <cell r="C130">
            <v>0</v>
          </cell>
        </row>
        <row r="131">
          <cell r="C131">
            <v>0</v>
          </cell>
        </row>
        <row r="132">
          <cell r="C132">
            <v>0</v>
          </cell>
        </row>
        <row r="133">
          <cell r="C133">
            <v>0</v>
          </cell>
        </row>
        <row r="134">
          <cell r="C134">
            <v>0</v>
          </cell>
        </row>
        <row r="135">
          <cell r="C135">
            <v>0</v>
          </cell>
        </row>
        <row r="136">
          <cell r="C136">
            <v>0</v>
          </cell>
        </row>
        <row r="137">
          <cell r="C137">
            <v>0</v>
          </cell>
        </row>
        <row r="138">
          <cell r="C138">
            <v>0</v>
          </cell>
        </row>
        <row r="139">
          <cell r="C139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9"/>
  <sheetViews>
    <sheetView tabSelected="1" workbookViewId="0">
      <selection activeCell="F20" sqref="F20"/>
    </sheetView>
  </sheetViews>
  <sheetFormatPr defaultRowHeight="15" x14ac:dyDescent="0.25"/>
  <cols>
    <col min="2" max="2" width="24.7109375" customWidth="1"/>
    <col min="3" max="3" width="11.85546875" customWidth="1"/>
    <col min="4" max="6" width="11.7109375" customWidth="1"/>
    <col min="7" max="7" width="12.7109375" customWidth="1"/>
    <col min="8" max="8" width="16.7109375" customWidth="1"/>
    <col min="9" max="11" width="11.7109375" customWidth="1"/>
  </cols>
  <sheetData>
    <row r="1" spans="1:12" x14ac:dyDescent="0.25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2" x14ac:dyDescent="0.25">
      <c r="A2" s="125"/>
      <c r="B2" s="126"/>
      <c r="C2" s="125"/>
      <c r="D2" s="125"/>
      <c r="E2" s="125"/>
      <c r="F2" s="125"/>
      <c r="G2" s="125"/>
      <c r="H2" s="125"/>
      <c r="I2" s="125"/>
      <c r="J2" s="125"/>
      <c r="K2" s="125"/>
      <c r="L2" s="125"/>
    </row>
    <row r="3" spans="1:12" x14ac:dyDescent="0.25">
      <c r="A3" s="125"/>
      <c r="B3" s="54" t="s">
        <v>124</v>
      </c>
      <c r="C3" s="137" t="s">
        <v>388</v>
      </c>
      <c r="D3" s="138"/>
      <c r="E3" s="138"/>
      <c r="F3" s="139"/>
      <c r="G3" s="125"/>
      <c r="H3" s="127" t="s">
        <v>132</v>
      </c>
      <c r="I3" s="128"/>
      <c r="J3" s="128"/>
      <c r="K3" s="128"/>
      <c r="L3" s="125"/>
    </row>
    <row r="4" spans="1:12" ht="15" customHeight="1" x14ac:dyDescent="0.25">
      <c r="A4" s="125"/>
      <c r="B4" s="54" t="s">
        <v>125</v>
      </c>
      <c r="C4" s="94">
        <f>+'CEE view'!C2</f>
        <v>2022</v>
      </c>
      <c r="D4" s="94">
        <f>+'CEE view'!D2</f>
        <v>2023</v>
      </c>
      <c r="E4" s="94">
        <f>+'CEE view'!E2</f>
        <v>2024</v>
      </c>
      <c r="F4" s="63" t="s">
        <v>139</v>
      </c>
      <c r="G4" s="125"/>
      <c r="H4" s="58"/>
      <c r="I4" s="59">
        <f>+C4</f>
        <v>2022</v>
      </c>
      <c r="J4" s="59">
        <f t="shared" ref="J4:K4" si="0">+D4</f>
        <v>2023</v>
      </c>
      <c r="K4" s="59">
        <f t="shared" si="0"/>
        <v>2024</v>
      </c>
      <c r="L4" s="125"/>
    </row>
    <row r="5" spans="1:12" x14ac:dyDescent="0.25">
      <c r="A5" s="125"/>
      <c r="B5" s="55" t="s">
        <v>126</v>
      </c>
      <c r="C5" s="56">
        <f>+'CEE view'!C84</f>
        <v>20727.579000000002</v>
      </c>
      <c r="D5" s="56">
        <f>+'CEE view'!D84</f>
        <v>22640.669000000002</v>
      </c>
      <c r="E5" s="56">
        <f>+'CEE view'!E84</f>
        <v>20375.419000000002</v>
      </c>
      <c r="F5" s="57">
        <f t="shared" ref="F5:F9" si="1">+IF(D5*E5&lt;=0,"N.S",IF(AND(E5*D5&gt;0,E5&lt;0),-(E5-D5)/D5,(E5-D5)/D5))</f>
        <v>-0.10005225552301479</v>
      </c>
      <c r="G5" s="125"/>
      <c r="H5" s="60" t="s">
        <v>133</v>
      </c>
      <c r="I5" s="61">
        <f>+'CEE view'!C106</f>
        <v>1.4058641327427016E-2</v>
      </c>
      <c r="J5" s="61">
        <f>+'CEE view'!D106</f>
        <v>1.1932600783232159E-2</v>
      </c>
      <c r="K5" s="61">
        <f>+'CEE view'!E106</f>
        <v>-1.5634014635097947E-4</v>
      </c>
      <c r="L5" s="125"/>
    </row>
    <row r="6" spans="1:12" x14ac:dyDescent="0.25">
      <c r="A6" s="125"/>
      <c r="B6" s="55" t="s">
        <v>109</v>
      </c>
      <c r="C6" s="56">
        <f>+'CEE view'!C92</f>
        <v>1605.6920000000021</v>
      </c>
      <c r="D6" s="56">
        <f>+'CEE view'!D92</f>
        <v>2385.3360000000048</v>
      </c>
      <c r="E6" s="56">
        <f>+'CEE view'!E92</f>
        <v>1907.3170000000036</v>
      </c>
      <c r="F6" s="57">
        <f t="shared" si="1"/>
        <v>-0.20039902135380516</v>
      </c>
      <c r="G6" s="125"/>
      <c r="H6" s="60" t="s">
        <v>134</v>
      </c>
      <c r="I6" s="62">
        <f>+'CEE view'!C108</f>
        <v>0.26234005571788654</v>
      </c>
      <c r="J6" s="62">
        <f>+'CEE view'!D108</f>
        <v>0.25749024350620797</v>
      </c>
      <c r="K6" s="62">
        <f>+'CEE view'!E108</f>
        <v>0.39415762640416507</v>
      </c>
      <c r="L6" s="125"/>
    </row>
    <row r="7" spans="1:12" x14ac:dyDescent="0.25">
      <c r="A7" s="125"/>
      <c r="B7" s="55" t="s">
        <v>387</v>
      </c>
      <c r="C7" s="56">
        <f>-'input CEE'!B133/1000</f>
        <v>-0.44600000000000001</v>
      </c>
      <c r="D7" s="56">
        <f>-'input CEE'!C133/1000</f>
        <v>-9.7370000000000001</v>
      </c>
      <c r="E7" s="56">
        <f>-'input CEE'!D133/1000</f>
        <v>-66.947000000000003</v>
      </c>
      <c r="F7" s="57">
        <f>+IF(D7*E7&lt;=0,"N.S",IF(AND(E7*D7&gt;0,E7&lt;0),(E7-D7)/D7,(E7-D7)/D7))</f>
        <v>5.8755263428160625</v>
      </c>
      <c r="G7" s="125"/>
      <c r="H7" s="60" t="s">
        <v>138</v>
      </c>
      <c r="I7" s="61">
        <f>+'CEE view'!C109</f>
        <v>4.2340938373547257</v>
      </c>
      <c r="J7" s="61">
        <f>+'CEE view'!D109</f>
        <v>5.4439147673179447</v>
      </c>
      <c r="K7" s="61">
        <f>+'CEE view'!E109</f>
        <v>3.640758264156958</v>
      </c>
      <c r="L7" s="125"/>
    </row>
    <row r="8" spans="1:12" x14ac:dyDescent="0.25">
      <c r="A8" s="125"/>
      <c r="B8" s="55" t="s">
        <v>127</v>
      </c>
      <c r="C8" s="56">
        <f>+'CEE view'!C103</f>
        <v>558.47000000000207</v>
      </c>
      <c r="D8" s="56">
        <f>+'CEE view'!D103</f>
        <v>1012.5550000000051</v>
      </c>
      <c r="E8" s="56">
        <f>+'CEE view'!E103</f>
        <v>632.56200000000342</v>
      </c>
      <c r="F8" s="57">
        <f t="shared" si="1"/>
        <v>-0.37528134274187552</v>
      </c>
      <c r="G8" s="125"/>
      <c r="H8" s="60" t="s">
        <v>135</v>
      </c>
      <c r="I8" s="62">
        <f>+'CEE view'!C111</f>
        <v>3.6734391411558584E-2</v>
      </c>
      <c r="J8" s="62">
        <f>+'CEE view'!D111</f>
        <v>6.6272732488602923E-2</v>
      </c>
      <c r="K8" s="62">
        <f>+'CEE view'!E111</f>
        <v>4.6675015615629957E-2</v>
      </c>
      <c r="L8" s="125"/>
    </row>
    <row r="9" spans="1:12" x14ac:dyDescent="0.25">
      <c r="A9" s="125"/>
      <c r="B9" s="98" t="s">
        <v>341</v>
      </c>
      <c r="C9" s="65"/>
      <c r="D9" s="65">
        <f>+'cash flow FGA'!D7</f>
        <v>1841.3040000000051</v>
      </c>
      <c r="E9" s="65">
        <f>+'cash flow FGA'!E7</f>
        <v>1444.1360000000036</v>
      </c>
      <c r="F9" s="66">
        <f t="shared" si="1"/>
        <v>-0.2156993087507551</v>
      </c>
      <c r="G9" s="125"/>
      <c r="H9" s="60" t="s">
        <v>136</v>
      </c>
      <c r="I9" s="62">
        <f>+'CEE view'!C113</f>
        <v>0.2789655542581716</v>
      </c>
      <c r="J9" s="62">
        <f>+'CEE view'!D113</f>
        <v>0.40029981287706834</v>
      </c>
      <c r="K9" s="62">
        <f>+'CEE view'!E113</f>
        <v>0.21933086102001456</v>
      </c>
      <c r="L9" s="125"/>
    </row>
    <row r="10" spans="1:12" x14ac:dyDescent="0.25">
      <c r="A10" s="125"/>
      <c r="B10" s="55" t="s">
        <v>128</v>
      </c>
      <c r="C10" s="56">
        <f>+'CEE view'!C5+'CEE view'!C13+'CEE view'!C18+'CEE view'!C46+'CEE view'!C64+'CEE view'!C68</f>
        <v>10259.901000000002</v>
      </c>
      <c r="D10" s="56">
        <f>+'CEE view'!D5+'CEE view'!D13+'CEE view'!D18+'CEE view'!D46+'CEE view'!D64+'CEE view'!D68</f>
        <v>14385.547000000002</v>
      </c>
      <c r="E10" s="56">
        <f>+'CEE view'!E5+'CEE view'!E13+'CEE view'!E18+'CEE view'!E46+'CEE view'!E64+'CEE view'!E68</f>
        <v>11002.446</v>
      </c>
      <c r="F10" s="57">
        <f t="shared" ref="F10:F15" si="2">+IF(D10*E10&lt;=0,"N.S",IF(AND(E10*D10&gt;0,E10&lt;0),-(E10-D10)/D10,(E10-D10)/D10))</f>
        <v>-0.2351736086225989</v>
      </c>
      <c r="G10" s="125"/>
      <c r="H10" s="60" t="s">
        <v>137</v>
      </c>
      <c r="I10" s="62">
        <f>+'CEE view'!C114</f>
        <v>0.20748756400973031</v>
      </c>
      <c r="J10" s="62">
        <f>+'CEE view'!D114</f>
        <v>0.27335779606483479</v>
      </c>
      <c r="K10" s="62">
        <f>+'CEE view'!E114</f>
        <v>0.14586258946322833</v>
      </c>
      <c r="L10" s="125"/>
    </row>
    <row r="11" spans="1:12" x14ac:dyDescent="0.25">
      <c r="A11" s="125"/>
      <c r="B11" s="55" t="s">
        <v>129</v>
      </c>
      <c r="C11" s="56">
        <f>+'CEE view'!C13</f>
        <v>1943.7080000000001</v>
      </c>
      <c r="D11" s="56">
        <f>+'CEE view'!D13</f>
        <v>4786.5150000000003</v>
      </c>
      <c r="E11" s="56">
        <f>+'CEE view'!E13</f>
        <v>2217.8389999999999</v>
      </c>
      <c r="F11" s="57">
        <f t="shared" si="2"/>
        <v>-0.53664848015727518</v>
      </c>
      <c r="G11" s="125"/>
      <c r="H11" s="125"/>
      <c r="I11" s="125"/>
      <c r="J11" s="125"/>
      <c r="K11" s="125"/>
      <c r="L11" s="125"/>
    </row>
    <row r="12" spans="1:12" x14ac:dyDescent="0.25">
      <c r="A12" s="125"/>
      <c r="B12" s="55" t="s">
        <v>130</v>
      </c>
      <c r="C12" s="56">
        <f>-(+'CEE view'!C72)</f>
        <v>41.256999999999998</v>
      </c>
      <c r="D12" s="56">
        <f>-(+'CEE view'!D72)</f>
        <v>45.234999999999999</v>
      </c>
      <c r="E12" s="56">
        <f>-(+'CEE view'!E72)</f>
        <v>0</v>
      </c>
      <c r="F12" s="57" t="str">
        <f>+IF(D12*E12&lt;=0,"N.S",IF(AND(E12*D12&gt;0,E12&lt;0),(E12-D12)/D12,(E12-D12)/D12))</f>
        <v>N.S</v>
      </c>
      <c r="G12" s="125"/>
      <c r="H12" s="125"/>
      <c r="I12" s="125"/>
      <c r="J12" s="125"/>
      <c r="K12" s="125"/>
      <c r="L12" s="125"/>
    </row>
    <row r="13" spans="1:12" x14ac:dyDescent="0.25">
      <c r="A13" s="125"/>
      <c r="B13" s="64" t="s">
        <v>155</v>
      </c>
      <c r="C13" s="65">
        <f>-(+'CEE view'!C73+'CEE view'!C75+'CEE view'!C77+'CEE view'!C78)</f>
        <v>41.256999999999998</v>
      </c>
      <c r="D13" s="65">
        <f>-(+'CEE view'!D73+'CEE view'!D75+'CEE view'!D77+'CEE view'!D78)</f>
        <v>45.234999999999999</v>
      </c>
      <c r="E13" s="65">
        <f>-(+'CEE view'!E73+'CEE view'!E75+'CEE view'!E77+'CEE view'!E78)</f>
        <v>0</v>
      </c>
      <c r="F13" s="66" t="str">
        <f t="shared" ref="F13:F14" si="3">+IF(D13*E13&lt;=0,"N.S",IF(AND(E13*D13&gt;0,E13&lt;0),(E13-D13)/D13,(E13-D13)/D13))</f>
        <v>N.S</v>
      </c>
      <c r="G13" s="125"/>
      <c r="H13" s="125"/>
      <c r="I13" s="125"/>
      <c r="J13" s="125"/>
      <c r="K13" s="125"/>
      <c r="L13" s="125"/>
    </row>
    <row r="14" spans="1:12" x14ac:dyDescent="0.25">
      <c r="A14" s="125"/>
      <c r="B14" s="64" t="s">
        <v>156</v>
      </c>
      <c r="C14" s="65">
        <f>-(+'CEE view'!C76+'CEE view'!C74)</f>
        <v>0</v>
      </c>
      <c r="D14" s="65">
        <f>-(+'CEE view'!D76+'CEE view'!D74)</f>
        <v>0</v>
      </c>
      <c r="E14" s="65">
        <f>-(+'CEE view'!E76+'CEE view'!E74)</f>
        <v>0</v>
      </c>
      <c r="F14" s="66" t="str">
        <f t="shared" si="3"/>
        <v>N.S</v>
      </c>
      <c r="G14" s="125"/>
      <c r="H14" s="125"/>
      <c r="I14" s="125"/>
      <c r="J14" s="125"/>
      <c r="K14" s="125"/>
      <c r="L14" s="125"/>
    </row>
    <row r="15" spans="1:12" x14ac:dyDescent="0.25">
      <c r="A15" s="125"/>
      <c r="B15" s="55" t="s">
        <v>131</v>
      </c>
      <c r="C15" s="56">
        <f>+'CEE view'!C63</f>
        <v>2691.5830000000005</v>
      </c>
      <c r="D15" s="56">
        <f>+'CEE view'!D63</f>
        <v>3704.1379999999999</v>
      </c>
      <c r="E15" s="56">
        <f>+'CEE view'!E63</f>
        <v>4336.6980000000003</v>
      </c>
      <c r="F15" s="57">
        <f t="shared" si="2"/>
        <v>0.170771175371976</v>
      </c>
      <c r="G15" s="125"/>
      <c r="H15" s="125"/>
      <c r="I15" s="125"/>
      <c r="J15" s="125"/>
      <c r="K15" s="125"/>
      <c r="L15" s="125"/>
    </row>
    <row r="16" spans="1:12" x14ac:dyDescent="0.25">
      <c r="A16" s="125"/>
      <c r="B16" s="98" t="s">
        <v>140</v>
      </c>
      <c r="C16" s="96">
        <f>+'CEE view'!C116</f>
        <v>84.473020221030154</v>
      </c>
      <c r="D16" s="96">
        <f>+'CEE view'!D116</f>
        <v>60.539557377920239</v>
      </c>
      <c r="E16" s="96">
        <f>+'CEE view'!E116</f>
        <v>67.295222738732377</v>
      </c>
      <c r="F16" s="97">
        <f>+E16-D16</f>
        <v>6.755665360812138</v>
      </c>
      <c r="G16" s="125"/>
      <c r="H16" s="125"/>
      <c r="I16" s="125"/>
      <c r="J16" s="125"/>
      <c r="K16" s="125"/>
      <c r="L16" s="125"/>
    </row>
    <row r="17" spans="1:12" x14ac:dyDescent="0.25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</row>
    <row r="18" spans="1:12" x14ac:dyDescent="0.25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</row>
    <row r="19" spans="1:12" x14ac:dyDescent="0.25">
      <c r="A19" s="125"/>
      <c r="B19" s="125"/>
      <c r="C19" s="125"/>
      <c r="D19" s="125"/>
      <c r="E19" s="125"/>
      <c r="F19" s="125"/>
      <c r="G19" s="125"/>
    </row>
  </sheetData>
  <mergeCells count="1">
    <mergeCell ref="C3:F3"/>
  </mergeCells>
  <pageMargins left="0.7" right="0.7" top="0.75" bottom="0.75" header="0.3" footer="0.3"/>
  <pageSetup paperSize="0" orientation="portrait" r:id="rId1"/>
  <ignoredErrors>
    <ignoredError sqref="F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I406"/>
  <sheetViews>
    <sheetView workbookViewId="0">
      <selection activeCell="E20" sqref="E20"/>
    </sheetView>
  </sheetViews>
  <sheetFormatPr defaultRowHeight="12.75" x14ac:dyDescent="0.2"/>
  <cols>
    <col min="1" max="1" width="9.140625" style="27"/>
    <col min="2" max="2" width="40.7109375" style="27" customWidth="1"/>
    <col min="3" max="3" width="8.7109375" style="53" customWidth="1"/>
    <col min="4" max="4" width="9.85546875" style="53" bestFit="1" customWidth="1"/>
    <col min="5" max="5" width="8.42578125" style="53" bestFit="1" customWidth="1"/>
    <col min="6" max="6" width="5.7109375" style="27" customWidth="1"/>
    <col min="7" max="7" width="105.85546875" style="27" hidden="1" customWidth="1"/>
    <col min="8" max="8" width="129.7109375" style="27" hidden="1" customWidth="1"/>
    <col min="9" max="16384" width="9.140625" style="27"/>
  </cols>
  <sheetData>
    <row r="1" spans="1:9" x14ac:dyDescent="0.2">
      <c r="A1" s="106"/>
      <c r="B1" s="106"/>
      <c r="C1" s="107"/>
      <c r="D1" s="107"/>
      <c r="E1" s="107"/>
      <c r="F1" s="106"/>
      <c r="G1" s="106"/>
      <c r="H1" s="106"/>
      <c r="I1" s="106"/>
    </row>
    <row r="2" spans="1:9" x14ac:dyDescent="0.2">
      <c r="A2" s="106"/>
      <c r="B2" s="108" t="s">
        <v>112</v>
      </c>
      <c r="C2" s="107"/>
      <c r="D2" s="52">
        <f>+'CEE view'!D2</f>
        <v>2023</v>
      </c>
      <c r="E2" s="52">
        <f>+'CEE view'!E2</f>
        <v>2024</v>
      </c>
      <c r="F2" s="106"/>
      <c r="G2" s="106"/>
      <c r="H2" s="106"/>
      <c r="I2" s="106"/>
    </row>
    <row r="3" spans="1:9" x14ac:dyDescent="0.2">
      <c r="A3" s="106"/>
      <c r="B3" s="106"/>
      <c r="C3" s="107"/>
      <c r="D3" s="107"/>
      <c r="E3" s="107"/>
      <c r="F3" s="106"/>
      <c r="G3" s="106"/>
      <c r="H3" s="106"/>
      <c r="I3" s="106"/>
    </row>
    <row r="4" spans="1:9" x14ac:dyDescent="0.2">
      <c r="A4" s="106"/>
      <c r="B4" s="106" t="s">
        <v>113</v>
      </c>
      <c r="C4" s="107"/>
      <c r="D4" s="107">
        <f>+'CEE view'!D103</f>
        <v>1012.5550000000051</v>
      </c>
      <c r="E4" s="107">
        <f>+'CEE view'!E103</f>
        <v>632.56200000000342</v>
      </c>
      <c r="F4" s="106"/>
      <c r="G4" s="106" t="s">
        <v>159</v>
      </c>
      <c r="H4" s="106" t="s">
        <v>113</v>
      </c>
      <c r="I4" s="106"/>
    </row>
    <row r="5" spans="1:9" x14ac:dyDescent="0.2">
      <c r="A5" s="106"/>
      <c r="B5" s="106" t="s">
        <v>141</v>
      </c>
      <c r="C5" s="107"/>
      <c r="D5" s="107">
        <f>-('CEE view'!D94+'CEE view'!D95)</f>
        <v>689.08500000000004</v>
      </c>
      <c r="E5" s="107">
        <f>-('CEE view'!E94+'CEE view'!E95)</f>
        <v>768.73300000000006</v>
      </c>
      <c r="F5" s="106"/>
      <c r="G5" s="106" t="s">
        <v>178</v>
      </c>
      <c r="H5" s="106" t="s">
        <v>179</v>
      </c>
      <c r="I5" s="106"/>
    </row>
    <row r="6" spans="1:9" x14ac:dyDescent="0.2">
      <c r="A6" s="106"/>
      <c r="B6" s="106" t="s">
        <v>122</v>
      </c>
      <c r="C6" s="107"/>
      <c r="D6" s="107">
        <f>('CEE view'!C47-'CEE view'!D47)+('CEE view'!C28-'CEE view'!D28)</f>
        <v>139.66399999999999</v>
      </c>
      <c r="E6" s="107">
        <f>('CEE view'!D47-'CEE view'!E47)+('CEE view'!D28-'CEE view'!E28)</f>
        <v>42.841000000000008</v>
      </c>
      <c r="F6" s="106"/>
      <c r="G6" s="106" t="s">
        <v>174</v>
      </c>
      <c r="H6" s="106" t="s">
        <v>180</v>
      </c>
      <c r="I6" s="106"/>
    </row>
    <row r="7" spans="1:9" s="33" customFormat="1" ht="13.5" thickBot="1" x14ac:dyDescent="0.25">
      <c r="A7" s="109"/>
      <c r="B7" s="110" t="s">
        <v>142</v>
      </c>
      <c r="C7" s="111" t="s">
        <v>144</v>
      </c>
      <c r="D7" s="111">
        <f>SUM(D4:D6)</f>
        <v>1841.3040000000051</v>
      </c>
      <c r="E7" s="111">
        <f>SUM(E4:E6)</f>
        <v>1444.1360000000036</v>
      </c>
      <c r="F7" s="109"/>
      <c r="G7" s="109" t="s">
        <v>166</v>
      </c>
      <c r="H7" s="109" t="s">
        <v>175</v>
      </c>
      <c r="I7" s="109"/>
    </row>
    <row r="8" spans="1:9" s="33" customFormat="1" ht="13.5" thickTop="1" x14ac:dyDescent="0.2">
      <c r="A8" s="109"/>
      <c r="B8" s="112"/>
      <c r="C8" s="113"/>
      <c r="D8" s="113"/>
      <c r="E8" s="113"/>
      <c r="F8" s="109"/>
      <c r="G8" s="109"/>
      <c r="H8" s="109"/>
      <c r="I8" s="109"/>
    </row>
    <row r="9" spans="1:9" s="33" customFormat="1" x14ac:dyDescent="0.2">
      <c r="A9" s="109"/>
      <c r="B9" s="106" t="s">
        <v>120</v>
      </c>
      <c r="C9" s="107"/>
      <c r="D9" s="107">
        <f>('CEE view'!C6+'CEE view'!C7+'CEE view'!C8+'CEE view'!C9+'CEE view'!C10+'CEE view'!C11+'CEE view'!C12+'CEE view'!C18)-('CEE view'!D6+'CEE view'!D7+'CEE view'!D8+'CEE view'!D9+'CEE view'!D10+'CEE view'!D11+'CEE view'!D12+'CEE view'!D18)</f>
        <v>-1006.2569999999996</v>
      </c>
      <c r="E9" s="107">
        <f>('CEE view'!D6+'CEE view'!D7+'CEE view'!D8+'CEE view'!D9+'CEE view'!D10+'CEE view'!D11+'CEE view'!D12+'CEE view'!D18)-('CEE view'!E6+'CEE view'!E7+'CEE view'!E8+'CEE view'!E9+'CEE view'!E10+'CEE view'!E11+'CEE view'!E12+'CEE view'!E18)</f>
        <v>1385.2960000000003</v>
      </c>
      <c r="F9" s="106"/>
      <c r="G9" s="106" t="s">
        <v>160</v>
      </c>
      <c r="H9" s="106" t="s">
        <v>181</v>
      </c>
      <c r="I9" s="109"/>
    </row>
    <row r="10" spans="1:9" s="33" customFormat="1" x14ac:dyDescent="0.2">
      <c r="A10" s="109"/>
      <c r="B10" s="106" t="s">
        <v>115</v>
      </c>
      <c r="C10" s="107"/>
      <c r="D10" s="107">
        <f>('CEE view'!C13-'CEE view'!D13)</f>
        <v>-2842.8070000000002</v>
      </c>
      <c r="E10" s="107">
        <f>('CEE view'!D13-'CEE view'!E13)</f>
        <v>2568.6760000000004</v>
      </c>
      <c r="F10" s="106"/>
      <c r="G10" s="106" t="s">
        <v>161</v>
      </c>
      <c r="H10" s="106" t="s">
        <v>182</v>
      </c>
      <c r="I10" s="109"/>
    </row>
    <row r="11" spans="1:9" s="33" customFormat="1" x14ac:dyDescent="0.2">
      <c r="A11" s="109"/>
      <c r="B11" s="106" t="s">
        <v>121</v>
      </c>
      <c r="C11" s="107"/>
      <c r="D11" s="107">
        <f>('CEE view'!C19-'CEE view'!D19)+('CEE view'!C27-'CEE view'!D27)</f>
        <v>2969.449000000001</v>
      </c>
      <c r="E11" s="107">
        <f>('CEE view'!D19-'CEE view'!E19)+('CEE view'!D27-'CEE view'!E27)</f>
        <v>-4013.2670000000007</v>
      </c>
      <c r="F11" s="106"/>
      <c r="G11" s="106" t="s">
        <v>177</v>
      </c>
      <c r="H11" s="106" t="s">
        <v>183</v>
      </c>
      <c r="I11" s="109"/>
    </row>
    <row r="12" spans="1:9" s="33" customFormat="1" x14ac:dyDescent="0.2">
      <c r="A12" s="109"/>
      <c r="B12" s="112" t="s">
        <v>116</v>
      </c>
      <c r="C12" s="113"/>
      <c r="D12" s="113">
        <f>SUM(D9:D11)</f>
        <v>-879.61499999999887</v>
      </c>
      <c r="E12" s="113">
        <f>SUM(E9:E11)</f>
        <v>-59.295000000000073</v>
      </c>
      <c r="F12" s="106"/>
      <c r="G12" s="109" t="s">
        <v>162</v>
      </c>
      <c r="H12" s="114" t="s">
        <v>116</v>
      </c>
      <c r="I12" s="109"/>
    </row>
    <row r="13" spans="1:9" s="33" customFormat="1" x14ac:dyDescent="0.2">
      <c r="A13" s="109"/>
      <c r="B13" s="112"/>
      <c r="C13" s="113"/>
      <c r="D13" s="113"/>
      <c r="E13" s="113"/>
      <c r="F13" s="106"/>
      <c r="G13" s="106"/>
      <c r="H13" s="109"/>
      <c r="I13" s="109"/>
    </row>
    <row r="14" spans="1:9" x14ac:dyDescent="0.2">
      <c r="A14" s="106"/>
      <c r="B14" s="106" t="s">
        <v>114</v>
      </c>
      <c r="C14" s="107"/>
      <c r="D14" s="107">
        <f>('CEE view'!C30-'CEE view'!D30+'CEE view'!D95)+('CEE view'!C36-'CEE view'!D36+'CEE view'!D94)+('CEE view'!C42-'CEE view'!D42)</f>
        <v>-968.04899999999986</v>
      </c>
      <c r="E14" s="107">
        <f>('CEE view'!D30-'CEE view'!E30+'CEE view'!E95)+('CEE view'!D36-'CEE view'!E36+'CEE view'!E94)+('CEE view'!D42-'CEE view'!E42)</f>
        <v>-1339.9609999999996</v>
      </c>
      <c r="F14" s="106"/>
      <c r="G14" s="106" t="s">
        <v>172</v>
      </c>
      <c r="H14" s="106" t="s">
        <v>184</v>
      </c>
      <c r="I14" s="106"/>
    </row>
    <row r="15" spans="1:9" x14ac:dyDescent="0.2">
      <c r="A15" s="106"/>
      <c r="B15" s="106" t="s">
        <v>154</v>
      </c>
      <c r="C15" s="107"/>
      <c r="D15" s="107">
        <f>('CEE view'!D53-'CEE view'!C53-'CEE view'!C62)+('CEE view'!D49-'CEE view'!C49)+('CEE view'!D61-'CEE view'!C61)+('CEE view'!D60-'CEE view'!C60)</f>
        <v>0</v>
      </c>
      <c r="E15" s="107">
        <f>('CEE view'!E53-'CEE view'!D53-'CEE view'!D62)+('CEE view'!E49-'CEE view'!D49)+('CEE view'!E61-'CEE view'!D61)+('CEE view'!E60-'CEE view'!D60)</f>
        <v>-2.0000000000663931E-3</v>
      </c>
      <c r="F15" s="106"/>
      <c r="G15" s="106" t="s">
        <v>163</v>
      </c>
      <c r="H15" s="106" t="s">
        <v>185</v>
      </c>
      <c r="I15" s="106"/>
    </row>
    <row r="16" spans="1:9" s="33" customFormat="1" x14ac:dyDescent="0.2">
      <c r="A16" s="109"/>
      <c r="B16" s="112" t="s">
        <v>143</v>
      </c>
      <c r="C16" s="113"/>
      <c r="D16" s="113">
        <f>SUM(D14:D15)</f>
        <v>-968.04899999999986</v>
      </c>
      <c r="E16" s="113">
        <f>SUM(E14:E15)</f>
        <v>-1339.9629999999997</v>
      </c>
      <c r="F16" s="109"/>
      <c r="G16" s="109" t="s">
        <v>164</v>
      </c>
      <c r="H16" s="114" t="s">
        <v>143</v>
      </c>
      <c r="I16" s="109"/>
    </row>
    <row r="17" spans="1:9" s="33" customFormat="1" x14ac:dyDescent="0.2">
      <c r="A17" s="109"/>
      <c r="B17" s="112"/>
      <c r="C17" s="113"/>
      <c r="D17" s="113"/>
      <c r="E17" s="113"/>
      <c r="F17" s="109"/>
      <c r="G17" s="106"/>
      <c r="H17" s="109"/>
      <c r="I17" s="109"/>
    </row>
    <row r="18" spans="1:9" s="33" customFormat="1" x14ac:dyDescent="0.2">
      <c r="A18" s="109"/>
      <c r="B18" s="115" t="s">
        <v>145</v>
      </c>
      <c r="C18" s="116" t="s">
        <v>146</v>
      </c>
      <c r="D18" s="117">
        <f>+D12+D16</f>
        <v>-1847.6639999999989</v>
      </c>
      <c r="E18" s="117">
        <f>+E12+E16</f>
        <v>-1399.2579999999998</v>
      </c>
      <c r="F18" s="109"/>
      <c r="G18" s="109" t="s">
        <v>165</v>
      </c>
      <c r="H18" s="109" t="s">
        <v>176</v>
      </c>
      <c r="I18" s="109"/>
    </row>
    <row r="19" spans="1:9" s="33" customFormat="1" x14ac:dyDescent="0.2">
      <c r="A19" s="109"/>
      <c r="B19" s="112"/>
      <c r="C19" s="113"/>
      <c r="D19" s="113"/>
      <c r="E19" s="113"/>
      <c r="F19" s="109"/>
      <c r="G19" s="106"/>
      <c r="H19" s="109"/>
      <c r="I19" s="109"/>
    </row>
    <row r="20" spans="1:9" ht="13.5" thickBot="1" x14ac:dyDescent="0.25">
      <c r="A20" s="106"/>
      <c r="B20" s="110" t="s">
        <v>153</v>
      </c>
      <c r="C20" s="118" t="s">
        <v>147</v>
      </c>
      <c r="D20" s="111">
        <f>+D18+D7</f>
        <v>-6.3599999999937609</v>
      </c>
      <c r="E20" s="111">
        <f>+E18+E7</f>
        <v>44.878000000003794</v>
      </c>
      <c r="F20" s="106"/>
      <c r="G20" s="109" t="s">
        <v>173</v>
      </c>
      <c r="H20" s="106" t="s">
        <v>186</v>
      </c>
      <c r="I20" s="106"/>
    </row>
    <row r="21" spans="1:9" ht="13.5" thickTop="1" x14ac:dyDescent="0.2">
      <c r="A21" s="106"/>
      <c r="B21" s="106"/>
      <c r="C21" s="107"/>
      <c r="D21" s="107"/>
      <c r="E21" s="107"/>
      <c r="F21" s="106"/>
      <c r="G21" s="106"/>
      <c r="H21" s="106"/>
      <c r="I21" s="106"/>
    </row>
    <row r="22" spans="1:9" x14ac:dyDescent="0.2">
      <c r="A22" s="106"/>
      <c r="B22" s="106" t="s">
        <v>118</v>
      </c>
      <c r="C22" s="119"/>
      <c r="D22" s="107">
        <f>('CEE view'!D73+'CEE view'!D75+'CEE view'!D77+'CEE view'!D78)-('CEE view'!C73+'CEE view'!C75+'CEE view'!C77+'CEE view'!C78)</f>
        <v>-3.9780000000000015</v>
      </c>
      <c r="E22" s="107">
        <f>('CEE view'!E73+'CEE view'!E75+'CEE view'!E77+'CEE view'!E78)-('CEE view'!D73+'CEE view'!D75+'CEE view'!D77+'CEE view'!D78)</f>
        <v>45.234999999999999</v>
      </c>
      <c r="F22" s="106"/>
      <c r="G22" s="106" t="s">
        <v>167</v>
      </c>
      <c r="H22" s="106" t="s">
        <v>187</v>
      </c>
      <c r="I22" s="106"/>
    </row>
    <row r="23" spans="1:9" x14ac:dyDescent="0.2">
      <c r="A23" s="106"/>
      <c r="B23" s="106" t="s">
        <v>119</v>
      </c>
      <c r="C23" s="119"/>
      <c r="D23" s="107">
        <f>('CEE view'!D64+'CEE view'!D68)-('CEE view'!C64+'CEE view'!C68)</f>
        <v>-2.3819999999999997</v>
      </c>
      <c r="E23" s="107">
        <f>('CEE view'!E64+'CEE view'!E68)-('CEE view'!D64+'CEE view'!D68)</f>
        <v>-0.35699999999999987</v>
      </c>
      <c r="F23" s="106"/>
      <c r="G23" s="106" t="s">
        <v>168</v>
      </c>
      <c r="H23" s="106" t="s">
        <v>188</v>
      </c>
      <c r="I23" s="106"/>
    </row>
    <row r="24" spans="1:9" s="33" customFormat="1" x14ac:dyDescent="0.2">
      <c r="A24" s="109"/>
      <c r="B24" s="112" t="s">
        <v>148</v>
      </c>
      <c r="C24" s="120" t="s">
        <v>149</v>
      </c>
      <c r="D24" s="113">
        <f>SUM(D22:D23)</f>
        <v>-6.3600000000000012</v>
      </c>
      <c r="E24" s="113">
        <f>SUM(E22:E23)</f>
        <v>44.878</v>
      </c>
      <c r="F24" s="109"/>
      <c r="G24" s="109" t="s">
        <v>169</v>
      </c>
      <c r="H24" s="114" t="s">
        <v>189</v>
      </c>
      <c r="I24" s="109"/>
    </row>
    <row r="25" spans="1:9" s="33" customFormat="1" x14ac:dyDescent="0.2">
      <c r="A25" s="109"/>
      <c r="B25" s="106"/>
      <c r="C25" s="119"/>
      <c r="D25" s="113"/>
      <c r="E25" s="113"/>
      <c r="F25" s="109"/>
      <c r="G25" s="106"/>
      <c r="H25" s="109"/>
      <c r="I25" s="109"/>
    </row>
    <row r="26" spans="1:9" s="33" customFormat="1" x14ac:dyDescent="0.2">
      <c r="A26" s="109"/>
      <c r="B26" s="112" t="s">
        <v>150</v>
      </c>
      <c r="C26" s="121" t="s">
        <v>151</v>
      </c>
      <c r="D26" s="113">
        <f>('CEE view'!D74+'CEE view'!D76)-('CEE view'!C74+'CEE view'!C76)</f>
        <v>0</v>
      </c>
      <c r="E26" s="113">
        <f>('CEE view'!E74+'CEE view'!E76)-('CEE view'!D74+'CEE view'!D76)</f>
        <v>0</v>
      </c>
      <c r="F26" s="109"/>
      <c r="G26" s="109" t="s">
        <v>170</v>
      </c>
      <c r="H26" s="114" t="s">
        <v>190</v>
      </c>
      <c r="I26" s="109"/>
    </row>
    <row r="27" spans="1:9" s="14" customFormat="1" hidden="1" x14ac:dyDescent="0.2">
      <c r="A27" s="108"/>
      <c r="B27" s="122" t="s">
        <v>157</v>
      </c>
      <c r="C27" s="123"/>
      <c r="D27" s="124"/>
      <c r="E27" s="124"/>
      <c r="F27" s="108"/>
      <c r="G27" s="106"/>
      <c r="H27" s="108"/>
      <c r="I27" s="108"/>
    </row>
    <row r="28" spans="1:9" s="14" customFormat="1" hidden="1" x14ac:dyDescent="0.2">
      <c r="A28" s="108"/>
      <c r="B28" s="122" t="s">
        <v>158</v>
      </c>
      <c r="C28" s="123"/>
      <c r="D28" s="124"/>
      <c r="E28" s="124"/>
      <c r="F28" s="108"/>
      <c r="G28" s="106"/>
      <c r="H28" s="108"/>
      <c r="I28" s="108"/>
    </row>
    <row r="29" spans="1:9" s="33" customFormat="1" x14ac:dyDescent="0.2">
      <c r="A29" s="109"/>
      <c r="B29" s="112"/>
      <c r="C29" s="113"/>
      <c r="D29" s="113"/>
      <c r="E29" s="113"/>
      <c r="F29" s="109"/>
      <c r="G29" s="106"/>
      <c r="H29" s="109"/>
      <c r="I29" s="109"/>
    </row>
    <row r="30" spans="1:9" s="33" customFormat="1" ht="13.5" thickBot="1" x14ac:dyDescent="0.25">
      <c r="A30" s="109"/>
      <c r="B30" s="110" t="s">
        <v>117</v>
      </c>
      <c r="C30" s="118" t="s">
        <v>152</v>
      </c>
      <c r="D30" s="111">
        <f>+D24+D26</f>
        <v>-6.3600000000000012</v>
      </c>
      <c r="E30" s="111">
        <f t="shared" ref="E30" si="0">+E24+E26</f>
        <v>44.878</v>
      </c>
      <c r="F30" s="109"/>
      <c r="G30" s="109" t="s">
        <v>171</v>
      </c>
      <c r="H30" s="109" t="s">
        <v>191</v>
      </c>
      <c r="I30" s="109"/>
    </row>
    <row r="31" spans="1:9" ht="13.5" thickTop="1" x14ac:dyDescent="0.2">
      <c r="A31" s="106"/>
      <c r="B31" s="106"/>
      <c r="C31" s="107"/>
      <c r="D31" s="119"/>
      <c r="E31" s="107"/>
      <c r="F31" s="106"/>
      <c r="G31" s="106"/>
      <c r="H31" s="106"/>
      <c r="I31" s="106"/>
    </row>
    <row r="32" spans="1:9" s="33" customFormat="1" x14ac:dyDescent="0.2">
      <c r="A32" s="109"/>
      <c r="B32" s="112"/>
      <c r="C32" s="113"/>
      <c r="D32" s="113">
        <f>+D30-D20</f>
        <v>-6.2403415768130799E-12</v>
      </c>
      <c r="E32" s="113">
        <f>+E30-E20</f>
        <v>-3.794298208958935E-12</v>
      </c>
      <c r="F32" s="109"/>
      <c r="G32" s="109"/>
      <c r="H32" s="109"/>
      <c r="I32" s="109"/>
    </row>
    <row r="33" spans="1:9" x14ac:dyDescent="0.2">
      <c r="A33" s="106"/>
      <c r="B33" s="106"/>
      <c r="C33" s="107"/>
      <c r="D33" s="107"/>
      <c r="E33" s="107"/>
      <c r="F33" s="106"/>
      <c r="G33" s="106"/>
      <c r="H33" s="106"/>
      <c r="I33" s="106"/>
    </row>
    <row r="34" spans="1:9" x14ac:dyDescent="0.2">
      <c r="C34" s="39"/>
      <c r="D34" s="39"/>
      <c r="E34" s="39"/>
    </row>
    <row r="35" spans="1:9" x14ac:dyDescent="0.2">
      <c r="C35" s="39"/>
      <c r="D35" s="39"/>
      <c r="E35" s="39"/>
    </row>
    <row r="36" spans="1:9" x14ac:dyDescent="0.2">
      <c r="C36" s="39"/>
      <c r="D36" s="39"/>
      <c r="E36" s="39"/>
    </row>
    <row r="37" spans="1:9" x14ac:dyDescent="0.2">
      <c r="C37" s="39"/>
      <c r="D37" s="39"/>
      <c r="E37" s="39"/>
    </row>
    <row r="38" spans="1:9" x14ac:dyDescent="0.2">
      <c r="C38" s="39"/>
      <c r="D38" s="39"/>
      <c r="E38" s="39"/>
    </row>
    <row r="39" spans="1:9" x14ac:dyDescent="0.2">
      <c r="C39" s="39"/>
      <c r="D39" s="39"/>
      <c r="E39" s="39"/>
    </row>
    <row r="40" spans="1:9" x14ac:dyDescent="0.2">
      <c r="C40" s="39"/>
      <c r="D40" s="39"/>
      <c r="E40" s="39"/>
    </row>
    <row r="41" spans="1:9" x14ac:dyDescent="0.2">
      <c r="C41" s="39"/>
      <c r="D41" s="39"/>
      <c r="E41" s="39"/>
    </row>
    <row r="42" spans="1:9" x14ac:dyDescent="0.2">
      <c r="C42" s="39"/>
      <c r="D42" s="39"/>
      <c r="E42" s="39"/>
    </row>
    <row r="43" spans="1:9" x14ac:dyDescent="0.2">
      <c r="C43" s="39"/>
      <c r="D43" s="39"/>
      <c r="E43" s="39"/>
    </row>
    <row r="44" spans="1:9" x14ac:dyDescent="0.2">
      <c r="C44" s="39"/>
      <c r="D44" s="39"/>
      <c r="E44" s="39"/>
    </row>
    <row r="45" spans="1:9" x14ac:dyDescent="0.2">
      <c r="C45" s="39"/>
      <c r="D45" s="39"/>
      <c r="E45" s="39"/>
    </row>
    <row r="46" spans="1:9" x14ac:dyDescent="0.2">
      <c r="C46" s="39"/>
      <c r="D46" s="39"/>
      <c r="E46" s="39"/>
    </row>
    <row r="47" spans="1:9" x14ac:dyDescent="0.2">
      <c r="C47" s="39"/>
      <c r="D47" s="39"/>
      <c r="E47" s="39"/>
    </row>
    <row r="48" spans="1:9" x14ac:dyDescent="0.2">
      <c r="C48" s="39"/>
      <c r="D48" s="39"/>
      <c r="E48" s="39"/>
    </row>
    <row r="49" spans="3:5" x14ac:dyDescent="0.2">
      <c r="C49" s="39"/>
      <c r="D49" s="39"/>
      <c r="E49" s="39"/>
    </row>
    <row r="50" spans="3:5" x14ac:dyDescent="0.2">
      <c r="C50" s="39"/>
      <c r="D50" s="39"/>
      <c r="E50" s="39"/>
    </row>
    <row r="51" spans="3:5" x14ac:dyDescent="0.2">
      <c r="C51" s="39"/>
      <c r="D51" s="39"/>
      <c r="E51" s="39"/>
    </row>
    <row r="52" spans="3:5" x14ac:dyDescent="0.2">
      <c r="C52" s="39"/>
      <c r="D52" s="39"/>
      <c r="E52" s="39"/>
    </row>
    <row r="53" spans="3:5" x14ac:dyDescent="0.2">
      <c r="C53" s="39"/>
      <c r="D53" s="39"/>
      <c r="E53" s="39"/>
    </row>
    <row r="54" spans="3:5" x14ac:dyDescent="0.2">
      <c r="C54" s="39"/>
      <c r="D54" s="39"/>
      <c r="E54" s="39"/>
    </row>
    <row r="55" spans="3:5" x14ac:dyDescent="0.2">
      <c r="C55" s="39"/>
      <c r="D55" s="39"/>
      <c r="E55" s="39"/>
    </row>
    <row r="56" spans="3:5" x14ac:dyDescent="0.2">
      <c r="C56" s="39"/>
      <c r="D56" s="39"/>
      <c r="E56" s="39"/>
    </row>
    <row r="57" spans="3:5" x14ac:dyDescent="0.2">
      <c r="C57" s="39"/>
      <c r="D57" s="39"/>
      <c r="E57" s="39"/>
    </row>
    <row r="58" spans="3:5" x14ac:dyDescent="0.2">
      <c r="C58" s="39"/>
      <c r="D58" s="39"/>
      <c r="E58" s="39"/>
    </row>
    <row r="59" spans="3:5" x14ac:dyDescent="0.2">
      <c r="C59" s="39"/>
      <c r="D59" s="39"/>
      <c r="E59" s="39"/>
    </row>
    <row r="60" spans="3:5" x14ac:dyDescent="0.2">
      <c r="C60" s="39"/>
      <c r="D60" s="39"/>
      <c r="E60" s="39"/>
    </row>
    <row r="61" spans="3:5" x14ac:dyDescent="0.2">
      <c r="C61" s="39"/>
      <c r="D61" s="39"/>
      <c r="E61" s="39"/>
    </row>
    <row r="62" spans="3:5" x14ac:dyDescent="0.2">
      <c r="C62" s="39"/>
      <c r="D62" s="39"/>
      <c r="E62" s="39"/>
    </row>
    <row r="63" spans="3:5" x14ac:dyDescent="0.2">
      <c r="C63" s="39"/>
      <c r="D63" s="39"/>
      <c r="E63" s="39"/>
    </row>
    <row r="64" spans="3:5" x14ac:dyDescent="0.2">
      <c r="C64" s="39"/>
      <c r="D64" s="39"/>
      <c r="E64" s="39"/>
    </row>
    <row r="65" spans="3:5" x14ac:dyDescent="0.2">
      <c r="C65" s="39"/>
      <c r="D65" s="39"/>
      <c r="E65" s="39"/>
    </row>
    <row r="66" spans="3:5" x14ac:dyDescent="0.2">
      <c r="C66" s="39"/>
      <c r="D66" s="39"/>
      <c r="E66" s="39"/>
    </row>
    <row r="67" spans="3:5" x14ac:dyDescent="0.2">
      <c r="C67" s="39"/>
      <c r="D67" s="39"/>
      <c r="E67" s="39"/>
    </row>
    <row r="68" spans="3:5" x14ac:dyDescent="0.2">
      <c r="C68" s="39"/>
      <c r="D68" s="39"/>
      <c r="E68" s="39"/>
    </row>
    <row r="69" spans="3:5" x14ac:dyDescent="0.2">
      <c r="C69" s="39"/>
      <c r="D69" s="39"/>
      <c r="E69" s="39"/>
    </row>
    <row r="70" spans="3:5" x14ac:dyDescent="0.2">
      <c r="C70" s="39"/>
      <c r="D70" s="39"/>
      <c r="E70" s="39"/>
    </row>
    <row r="71" spans="3:5" x14ac:dyDescent="0.2">
      <c r="C71" s="39"/>
      <c r="D71" s="39"/>
      <c r="E71" s="39"/>
    </row>
    <row r="72" spans="3:5" x14ac:dyDescent="0.2">
      <c r="C72" s="39"/>
      <c r="D72" s="39"/>
      <c r="E72" s="39"/>
    </row>
    <row r="73" spans="3:5" x14ac:dyDescent="0.2">
      <c r="C73" s="39"/>
      <c r="D73" s="39"/>
      <c r="E73" s="39"/>
    </row>
    <row r="74" spans="3:5" x14ac:dyDescent="0.2">
      <c r="C74" s="39"/>
      <c r="D74" s="39"/>
      <c r="E74" s="39"/>
    </row>
    <row r="75" spans="3:5" x14ac:dyDescent="0.2">
      <c r="C75" s="39"/>
      <c r="D75" s="39"/>
      <c r="E75" s="39"/>
    </row>
    <row r="76" spans="3:5" x14ac:dyDescent="0.2">
      <c r="C76" s="39"/>
      <c r="D76" s="39"/>
      <c r="E76" s="39"/>
    </row>
    <row r="77" spans="3:5" x14ac:dyDescent="0.2">
      <c r="C77" s="39"/>
      <c r="D77" s="39"/>
      <c r="E77" s="39"/>
    </row>
    <row r="78" spans="3:5" x14ac:dyDescent="0.2">
      <c r="C78" s="39"/>
      <c r="D78" s="39"/>
      <c r="E78" s="39"/>
    </row>
    <row r="79" spans="3:5" x14ac:dyDescent="0.2">
      <c r="C79" s="39"/>
      <c r="D79" s="39"/>
      <c r="E79" s="39"/>
    </row>
    <row r="80" spans="3:5" x14ac:dyDescent="0.2">
      <c r="C80" s="39"/>
      <c r="D80" s="39"/>
      <c r="E80" s="39"/>
    </row>
    <row r="81" spans="3:5" x14ac:dyDescent="0.2">
      <c r="C81" s="39"/>
      <c r="D81" s="39"/>
      <c r="E81" s="39"/>
    </row>
    <row r="82" spans="3:5" x14ac:dyDescent="0.2">
      <c r="C82" s="39"/>
      <c r="D82" s="39"/>
      <c r="E82" s="39"/>
    </row>
    <row r="83" spans="3:5" x14ac:dyDescent="0.2">
      <c r="C83" s="39"/>
      <c r="D83" s="39"/>
      <c r="E83" s="39"/>
    </row>
    <row r="84" spans="3:5" x14ac:dyDescent="0.2">
      <c r="C84" s="39"/>
      <c r="D84" s="39"/>
      <c r="E84" s="39"/>
    </row>
    <row r="85" spans="3:5" x14ac:dyDescent="0.2">
      <c r="C85" s="39"/>
      <c r="D85" s="39"/>
      <c r="E85" s="39"/>
    </row>
    <row r="86" spans="3:5" x14ac:dyDescent="0.2">
      <c r="C86" s="39"/>
      <c r="D86" s="39"/>
      <c r="E86" s="39"/>
    </row>
    <row r="87" spans="3:5" x14ac:dyDescent="0.2">
      <c r="C87" s="39"/>
      <c r="D87" s="39"/>
      <c r="E87" s="39"/>
    </row>
    <row r="88" spans="3:5" x14ac:dyDescent="0.2">
      <c r="C88" s="39"/>
      <c r="D88" s="39"/>
      <c r="E88" s="39"/>
    </row>
    <row r="89" spans="3:5" x14ac:dyDescent="0.2">
      <c r="C89" s="39"/>
      <c r="D89" s="39"/>
      <c r="E89" s="39"/>
    </row>
    <row r="90" spans="3:5" x14ac:dyDescent="0.2">
      <c r="C90" s="39"/>
      <c r="D90" s="39"/>
      <c r="E90" s="39"/>
    </row>
    <row r="91" spans="3:5" x14ac:dyDescent="0.2">
      <c r="C91" s="39"/>
      <c r="D91" s="39"/>
      <c r="E91" s="39"/>
    </row>
    <row r="92" spans="3:5" x14ac:dyDescent="0.2">
      <c r="C92" s="39"/>
      <c r="D92" s="39"/>
      <c r="E92" s="39"/>
    </row>
    <row r="93" spans="3:5" x14ac:dyDescent="0.2">
      <c r="C93" s="39"/>
      <c r="D93" s="39"/>
      <c r="E93" s="39"/>
    </row>
    <row r="94" spans="3:5" x14ac:dyDescent="0.2">
      <c r="C94" s="39"/>
      <c r="D94" s="39"/>
      <c r="E94" s="39"/>
    </row>
    <row r="95" spans="3:5" x14ac:dyDescent="0.2">
      <c r="C95" s="39"/>
      <c r="D95" s="39"/>
      <c r="E95" s="39"/>
    </row>
    <row r="96" spans="3:5" x14ac:dyDescent="0.2">
      <c r="C96" s="39"/>
      <c r="D96" s="39"/>
      <c r="E96" s="39"/>
    </row>
    <row r="97" spans="3:5" x14ac:dyDescent="0.2">
      <c r="C97" s="39"/>
      <c r="D97" s="39"/>
      <c r="E97" s="39"/>
    </row>
    <row r="98" spans="3:5" x14ac:dyDescent="0.2">
      <c r="C98" s="39"/>
      <c r="D98" s="39"/>
      <c r="E98" s="39"/>
    </row>
    <row r="99" spans="3:5" x14ac:dyDescent="0.2">
      <c r="C99" s="39"/>
      <c r="D99" s="39"/>
      <c r="E99" s="39"/>
    </row>
    <row r="100" spans="3:5" x14ac:dyDescent="0.2">
      <c r="C100" s="39"/>
      <c r="D100" s="39"/>
      <c r="E100" s="39"/>
    </row>
    <row r="101" spans="3:5" x14ac:dyDescent="0.2">
      <c r="C101" s="39"/>
      <c r="D101" s="39"/>
      <c r="E101" s="39"/>
    </row>
    <row r="102" spans="3:5" x14ac:dyDescent="0.2">
      <c r="C102" s="39"/>
      <c r="D102" s="39"/>
      <c r="E102" s="39"/>
    </row>
    <row r="103" spans="3:5" x14ac:dyDescent="0.2">
      <c r="C103" s="39"/>
      <c r="D103" s="39"/>
      <c r="E103" s="39"/>
    </row>
    <row r="104" spans="3:5" x14ac:dyDescent="0.2">
      <c r="C104" s="39"/>
      <c r="D104" s="39"/>
      <c r="E104" s="39"/>
    </row>
    <row r="105" spans="3:5" x14ac:dyDescent="0.2">
      <c r="C105" s="39"/>
      <c r="D105" s="39"/>
      <c r="E105" s="39"/>
    </row>
    <row r="106" spans="3:5" x14ac:dyDescent="0.2">
      <c r="C106" s="39"/>
      <c r="D106" s="39"/>
      <c r="E106" s="39"/>
    </row>
    <row r="107" spans="3:5" x14ac:dyDescent="0.2">
      <c r="C107" s="39"/>
      <c r="D107" s="39"/>
      <c r="E107" s="39"/>
    </row>
    <row r="108" spans="3:5" x14ac:dyDescent="0.2">
      <c r="C108" s="39"/>
      <c r="D108" s="39"/>
      <c r="E108" s="39"/>
    </row>
    <row r="109" spans="3:5" x14ac:dyDescent="0.2">
      <c r="C109" s="39"/>
      <c r="D109" s="39"/>
      <c r="E109" s="39"/>
    </row>
    <row r="110" spans="3:5" x14ac:dyDescent="0.2">
      <c r="C110" s="39"/>
      <c r="D110" s="39"/>
      <c r="E110" s="39"/>
    </row>
    <row r="111" spans="3:5" x14ac:dyDescent="0.2">
      <c r="C111" s="39"/>
      <c r="D111" s="39"/>
      <c r="E111" s="39"/>
    </row>
    <row r="112" spans="3:5" x14ac:dyDescent="0.2">
      <c r="C112" s="39"/>
      <c r="D112" s="39"/>
      <c r="E112" s="39"/>
    </row>
    <row r="113" spans="3:5" x14ac:dyDescent="0.2">
      <c r="C113" s="39"/>
      <c r="D113" s="39"/>
      <c r="E113" s="39"/>
    </row>
    <row r="114" spans="3:5" x14ac:dyDescent="0.2">
      <c r="C114" s="39"/>
      <c r="D114" s="39"/>
      <c r="E114" s="39"/>
    </row>
    <row r="115" spans="3:5" x14ac:dyDescent="0.2">
      <c r="C115" s="39"/>
      <c r="D115" s="39"/>
      <c r="E115" s="39"/>
    </row>
    <row r="116" spans="3:5" x14ac:dyDescent="0.2">
      <c r="C116" s="39"/>
      <c r="D116" s="39"/>
      <c r="E116" s="39"/>
    </row>
    <row r="117" spans="3:5" x14ac:dyDescent="0.2">
      <c r="C117" s="39"/>
      <c r="D117" s="39"/>
      <c r="E117" s="39"/>
    </row>
    <row r="118" spans="3:5" x14ac:dyDescent="0.2">
      <c r="C118" s="39"/>
      <c r="D118" s="39"/>
      <c r="E118" s="39"/>
    </row>
    <row r="119" spans="3:5" x14ac:dyDescent="0.2">
      <c r="C119" s="39"/>
      <c r="D119" s="39"/>
      <c r="E119" s="39"/>
    </row>
    <row r="120" spans="3:5" x14ac:dyDescent="0.2">
      <c r="C120" s="39"/>
      <c r="D120" s="39"/>
      <c r="E120" s="39"/>
    </row>
    <row r="121" spans="3:5" x14ac:dyDescent="0.2">
      <c r="C121" s="39"/>
      <c r="D121" s="39"/>
      <c r="E121" s="39"/>
    </row>
    <row r="122" spans="3:5" x14ac:dyDescent="0.2">
      <c r="C122" s="39"/>
      <c r="D122" s="39"/>
      <c r="E122" s="39"/>
    </row>
    <row r="123" spans="3:5" x14ac:dyDescent="0.2">
      <c r="C123" s="39"/>
      <c r="D123" s="39"/>
      <c r="E123" s="39"/>
    </row>
    <row r="124" spans="3:5" x14ac:dyDescent="0.2">
      <c r="C124" s="39"/>
      <c r="D124" s="39"/>
      <c r="E124" s="39"/>
    </row>
    <row r="125" spans="3:5" x14ac:dyDescent="0.2">
      <c r="C125" s="39"/>
      <c r="D125" s="39"/>
      <c r="E125" s="39"/>
    </row>
    <row r="126" spans="3:5" x14ac:dyDescent="0.2">
      <c r="C126" s="39"/>
      <c r="D126" s="39"/>
      <c r="E126" s="39"/>
    </row>
    <row r="127" spans="3:5" x14ac:dyDescent="0.2">
      <c r="C127" s="39"/>
      <c r="D127" s="39"/>
      <c r="E127" s="39"/>
    </row>
    <row r="128" spans="3:5" x14ac:dyDescent="0.2">
      <c r="C128" s="39"/>
      <c r="D128" s="39"/>
      <c r="E128" s="39"/>
    </row>
    <row r="129" spans="3:5" x14ac:dyDescent="0.2">
      <c r="C129" s="39"/>
      <c r="D129" s="39"/>
      <c r="E129" s="39"/>
    </row>
    <row r="130" spans="3:5" x14ac:dyDescent="0.2">
      <c r="C130" s="39"/>
      <c r="D130" s="39"/>
      <c r="E130" s="39"/>
    </row>
    <row r="131" spans="3:5" x14ac:dyDescent="0.2">
      <c r="C131" s="39"/>
      <c r="D131" s="39"/>
      <c r="E131" s="39"/>
    </row>
    <row r="132" spans="3:5" x14ac:dyDescent="0.2">
      <c r="C132" s="39"/>
      <c r="D132" s="39"/>
      <c r="E132" s="39"/>
    </row>
    <row r="133" spans="3:5" x14ac:dyDescent="0.2">
      <c r="C133" s="39"/>
      <c r="D133" s="39"/>
      <c r="E133" s="39"/>
    </row>
    <row r="134" spans="3:5" x14ac:dyDescent="0.2">
      <c r="C134" s="39"/>
      <c r="D134" s="39"/>
      <c r="E134" s="39"/>
    </row>
    <row r="135" spans="3:5" x14ac:dyDescent="0.2">
      <c r="C135" s="39"/>
      <c r="D135" s="39"/>
      <c r="E135" s="39"/>
    </row>
    <row r="136" spans="3:5" x14ac:dyDescent="0.2">
      <c r="C136" s="39"/>
      <c r="D136" s="39"/>
      <c r="E136" s="39"/>
    </row>
    <row r="137" spans="3:5" x14ac:dyDescent="0.2">
      <c r="C137" s="39"/>
      <c r="D137" s="39"/>
      <c r="E137" s="39"/>
    </row>
    <row r="138" spans="3:5" x14ac:dyDescent="0.2">
      <c r="C138" s="39"/>
      <c r="D138" s="39"/>
      <c r="E138" s="39"/>
    </row>
    <row r="139" spans="3:5" x14ac:dyDescent="0.2">
      <c r="C139" s="39"/>
      <c r="D139" s="39"/>
      <c r="E139" s="39"/>
    </row>
    <row r="140" spans="3:5" x14ac:dyDescent="0.2">
      <c r="C140" s="39"/>
      <c r="D140" s="39"/>
      <c r="E140" s="39"/>
    </row>
    <row r="141" spans="3:5" x14ac:dyDescent="0.2">
      <c r="C141" s="39"/>
      <c r="D141" s="39"/>
      <c r="E141" s="39"/>
    </row>
    <row r="142" spans="3:5" x14ac:dyDescent="0.2">
      <c r="C142" s="39"/>
      <c r="D142" s="39"/>
      <c r="E142" s="39"/>
    </row>
    <row r="143" spans="3:5" x14ac:dyDescent="0.2">
      <c r="C143" s="39"/>
      <c r="D143" s="39"/>
      <c r="E143" s="39"/>
    </row>
    <row r="144" spans="3:5" x14ac:dyDescent="0.2">
      <c r="C144" s="39"/>
      <c r="D144" s="39"/>
      <c r="E144" s="39"/>
    </row>
    <row r="145" spans="3:5" x14ac:dyDescent="0.2">
      <c r="C145" s="39"/>
      <c r="D145" s="39"/>
      <c r="E145" s="39"/>
    </row>
    <row r="146" spans="3:5" x14ac:dyDescent="0.2">
      <c r="C146" s="39"/>
      <c r="D146" s="39"/>
      <c r="E146" s="39"/>
    </row>
    <row r="147" spans="3:5" x14ac:dyDescent="0.2">
      <c r="C147" s="39"/>
      <c r="D147" s="39"/>
      <c r="E147" s="39"/>
    </row>
    <row r="148" spans="3:5" x14ac:dyDescent="0.2">
      <c r="C148" s="39"/>
      <c r="D148" s="39"/>
      <c r="E148" s="39"/>
    </row>
    <row r="149" spans="3:5" x14ac:dyDescent="0.2">
      <c r="C149" s="39"/>
      <c r="D149" s="39"/>
      <c r="E149" s="39"/>
    </row>
    <row r="150" spans="3:5" x14ac:dyDescent="0.2">
      <c r="C150" s="39"/>
      <c r="D150" s="39"/>
      <c r="E150" s="39"/>
    </row>
    <row r="151" spans="3:5" x14ac:dyDescent="0.2">
      <c r="C151" s="39"/>
      <c r="D151" s="39"/>
      <c r="E151" s="39"/>
    </row>
    <row r="152" spans="3:5" x14ac:dyDescent="0.2">
      <c r="C152" s="39"/>
      <c r="D152" s="39"/>
      <c r="E152" s="39"/>
    </row>
    <row r="153" spans="3:5" x14ac:dyDescent="0.2">
      <c r="C153" s="39"/>
      <c r="D153" s="39"/>
      <c r="E153" s="39"/>
    </row>
    <row r="154" spans="3:5" x14ac:dyDescent="0.2">
      <c r="C154" s="39"/>
      <c r="D154" s="39"/>
      <c r="E154" s="39"/>
    </row>
    <row r="155" spans="3:5" x14ac:dyDescent="0.2">
      <c r="C155" s="39"/>
      <c r="D155" s="39"/>
      <c r="E155" s="39"/>
    </row>
    <row r="156" spans="3:5" x14ac:dyDescent="0.2">
      <c r="C156" s="39"/>
      <c r="D156" s="39"/>
      <c r="E156" s="39"/>
    </row>
    <row r="157" spans="3:5" x14ac:dyDescent="0.2">
      <c r="C157" s="39"/>
      <c r="D157" s="39"/>
      <c r="E157" s="39"/>
    </row>
    <row r="158" spans="3:5" x14ac:dyDescent="0.2">
      <c r="C158" s="39"/>
      <c r="D158" s="39"/>
      <c r="E158" s="39"/>
    </row>
    <row r="159" spans="3:5" x14ac:dyDescent="0.2">
      <c r="C159" s="39"/>
      <c r="D159" s="39"/>
      <c r="E159" s="39"/>
    </row>
    <row r="160" spans="3:5" x14ac:dyDescent="0.2">
      <c r="C160" s="39"/>
      <c r="D160" s="39"/>
      <c r="E160" s="39"/>
    </row>
    <row r="161" spans="3:5" x14ac:dyDescent="0.2">
      <c r="C161" s="39"/>
      <c r="D161" s="39"/>
      <c r="E161" s="39"/>
    </row>
    <row r="162" spans="3:5" x14ac:dyDescent="0.2">
      <c r="C162" s="39"/>
      <c r="D162" s="39"/>
      <c r="E162" s="39"/>
    </row>
    <row r="163" spans="3:5" x14ac:dyDescent="0.2">
      <c r="C163" s="39"/>
      <c r="D163" s="39"/>
      <c r="E163" s="39"/>
    </row>
    <row r="164" spans="3:5" x14ac:dyDescent="0.2">
      <c r="C164" s="39"/>
      <c r="D164" s="39"/>
      <c r="E164" s="39"/>
    </row>
    <row r="165" spans="3:5" x14ac:dyDescent="0.2">
      <c r="C165" s="39"/>
      <c r="D165" s="39"/>
      <c r="E165" s="39"/>
    </row>
    <row r="166" spans="3:5" x14ac:dyDescent="0.2">
      <c r="C166" s="39"/>
      <c r="D166" s="39"/>
      <c r="E166" s="39"/>
    </row>
    <row r="167" spans="3:5" x14ac:dyDescent="0.2">
      <c r="C167" s="39"/>
      <c r="D167" s="39"/>
      <c r="E167" s="39"/>
    </row>
    <row r="168" spans="3:5" x14ac:dyDescent="0.2">
      <c r="C168" s="39"/>
      <c r="D168" s="39"/>
      <c r="E168" s="39"/>
    </row>
    <row r="169" spans="3:5" x14ac:dyDescent="0.2">
      <c r="C169" s="39"/>
      <c r="D169" s="39"/>
      <c r="E169" s="39"/>
    </row>
    <row r="170" spans="3:5" x14ac:dyDescent="0.2">
      <c r="C170" s="39"/>
      <c r="D170" s="39"/>
      <c r="E170" s="39"/>
    </row>
    <row r="171" spans="3:5" x14ac:dyDescent="0.2">
      <c r="C171" s="39"/>
      <c r="D171" s="39"/>
      <c r="E171" s="39"/>
    </row>
    <row r="172" spans="3:5" x14ac:dyDescent="0.2">
      <c r="C172" s="39"/>
      <c r="D172" s="39"/>
      <c r="E172" s="39"/>
    </row>
    <row r="173" spans="3:5" x14ac:dyDescent="0.2">
      <c r="C173" s="39"/>
      <c r="D173" s="39"/>
      <c r="E173" s="39"/>
    </row>
    <row r="174" spans="3:5" x14ac:dyDescent="0.2">
      <c r="C174" s="39"/>
      <c r="D174" s="39"/>
      <c r="E174" s="39"/>
    </row>
    <row r="175" spans="3:5" x14ac:dyDescent="0.2">
      <c r="C175" s="39"/>
      <c r="D175" s="39"/>
      <c r="E175" s="39"/>
    </row>
    <row r="176" spans="3:5" x14ac:dyDescent="0.2">
      <c r="C176" s="39"/>
      <c r="D176" s="39"/>
      <c r="E176" s="39"/>
    </row>
    <row r="177" spans="3:5" x14ac:dyDescent="0.2">
      <c r="C177" s="39"/>
      <c r="D177" s="39"/>
      <c r="E177" s="39"/>
    </row>
    <row r="178" spans="3:5" x14ac:dyDescent="0.2">
      <c r="C178" s="39"/>
      <c r="D178" s="39"/>
      <c r="E178" s="39"/>
    </row>
    <row r="179" spans="3:5" x14ac:dyDescent="0.2">
      <c r="C179" s="39"/>
      <c r="D179" s="39"/>
      <c r="E179" s="39"/>
    </row>
    <row r="180" spans="3:5" x14ac:dyDescent="0.2">
      <c r="C180" s="39"/>
      <c r="D180" s="39"/>
      <c r="E180" s="39"/>
    </row>
    <row r="181" spans="3:5" x14ac:dyDescent="0.2">
      <c r="C181" s="39"/>
      <c r="D181" s="39"/>
      <c r="E181" s="39"/>
    </row>
    <row r="182" spans="3:5" x14ac:dyDescent="0.2">
      <c r="C182" s="39"/>
      <c r="D182" s="39"/>
      <c r="E182" s="39"/>
    </row>
    <row r="183" spans="3:5" x14ac:dyDescent="0.2">
      <c r="C183" s="39"/>
      <c r="D183" s="39"/>
      <c r="E183" s="39"/>
    </row>
    <row r="184" spans="3:5" x14ac:dyDescent="0.2">
      <c r="C184" s="39"/>
      <c r="D184" s="39"/>
      <c r="E184" s="39"/>
    </row>
    <row r="185" spans="3:5" x14ac:dyDescent="0.2">
      <c r="C185" s="39"/>
      <c r="D185" s="39"/>
      <c r="E185" s="39"/>
    </row>
    <row r="186" spans="3:5" x14ac:dyDescent="0.2">
      <c r="C186" s="39"/>
      <c r="D186" s="39"/>
      <c r="E186" s="39"/>
    </row>
    <row r="187" spans="3:5" x14ac:dyDescent="0.2">
      <c r="C187" s="39"/>
      <c r="D187" s="39"/>
      <c r="E187" s="39"/>
    </row>
    <row r="188" spans="3:5" x14ac:dyDescent="0.2">
      <c r="C188" s="39"/>
      <c r="D188" s="39"/>
      <c r="E188" s="39"/>
    </row>
    <row r="189" spans="3:5" x14ac:dyDescent="0.2">
      <c r="C189" s="39"/>
      <c r="D189" s="39"/>
      <c r="E189" s="39"/>
    </row>
    <row r="190" spans="3:5" x14ac:dyDescent="0.2">
      <c r="C190" s="39"/>
      <c r="D190" s="39"/>
      <c r="E190" s="39"/>
    </row>
    <row r="191" spans="3:5" x14ac:dyDescent="0.2">
      <c r="C191" s="39"/>
      <c r="D191" s="39"/>
      <c r="E191" s="39"/>
    </row>
    <row r="192" spans="3:5" x14ac:dyDescent="0.2">
      <c r="C192" s="39"/>
      <c r="D192" s="39"/>
      <c r="E192" s="39"/>
    </row>
    <row r="193" spans="3:5" x14ac:dyDescent="0.2">
      <c r="C193" s="39"/>
      <c r="D193" s="39"/>
      <c r="E193" s="39"/>
    </row>
    <row r="194" spans="3:5" x14ac:dyDescent="0.2">
      <c r="C194" s="39"/>
      <c r="D194" s="39"/>
      <c r="E194" s="39"/>
    </row>
    <row r="195" spans="3:5" x14ac:dyDescent="0.2">
      <c r="C195" s="39"/>
      <c r="D195" s="39"/>
      <c r="E195" s="39"/>
    </row>
    <row r="196" spans="3:5" x14ac:dyDescent="0.2">
      <c r="C196" s="39"/>
      <c r="D196" s="39"/>
      <c r="E196" s="39"/>
    </row>
    <row r="197" spans="3:5" x14ac:dyDescent="0.2">
      <c r="C197" s="39"/>
      <c r="D197" s="39"/>
      <c r="E197" s="39"/>
    </row>
    <row r="198" spans="3:5" x14ac:dyDescent="0.2">
      <c r="C198" s="39"/>
      <c r="D198" s="39"/>
      <c r="E198" s="39"/>
    </row>
    <row r="199" spans="3:5" x14ac:dyDescent="0.2">
      <c r="C199" s="39"/>
      <c r="D199" s="39"/>
      <c r="E199" s="39"/>
    </row>
    <row r="200" spans="3:5" x14ac:dyDescent="0.2">
      <c r="C200" s="39"/>
      <c r="D200" s="39"/>
      <c r="E200" s="39"/>
    </row>
    <row r="201" spans="3:5" x14ac:dyDescent="0.2">
      <c r="C201" s="39"/>
      <c r="D201" s="39"/>
      <c r="E201" s="39"/>
    </row>
    <row r="202" spans="3:5" x14ac:dyDescent="0.2">
      <c r="C202" s="39"/>
      <c r="D202" s="39"/>
      <c r="E202" s="39"/>
    </row>
    <row r="203" spans="3:5" x14ac:dyDescent="0.2">
      <c r="C203" s="39"/>
      <c r="D203" s="39"/>
      <c r="E203" s="39"/>
    </row>
    <row r="204" spans="3:5" x14ac:dyDescent="0.2">
      <c r="C204" s="39"/>
      <c r="D204" s="39"/>
      <c r="E204" s="39"/>
    </row>
    <row r="205" spans="3:5" x14ac:dyDescent="0.2">
      <c r="C205" s="39"/>
      <c r="D205" s="39"/>
      <c r="E205" s="39"/>
    </row>
    <row r="206" spans="3:5" x14ac:dyDescent="0.2">
      <c r="C206" s="39"/>
      <c r="D206" s="39"/>
      <c r="E206" s="39"/>
    </row>
    <row r="207" spans="3:5" x14ac:dyDescent="0.2">
      <c r="C207" s="39"/>
      <c r="D207" s="39"/>
      <c r="E207" s="39"/>
    </row>
    <row r="208" spans="3:5" x14ac:dyDescent="0.2">
      <c r="C208" s="39"/>
      <c r="D208" s="39"/>
      <c r="E208" s="39"/>
    </row>
    <row r="209" spans="3:5" x14ac:dyDescent="0.2">
      <c r="C209" s="39"/>
      <c r="D209" s="39"/>
      <c r="E209" s="39"/>
    </row>
    <row r="210" spans="3:5" x14ac:dyDescent="0.2">
      <c r="C210" s="39"/>
      <c r="D210" s="39"/>
      <c r="E210" s="39"/>
    </row>
    <row r="211" spans="3:5" x14ac:dyDescent="0.2">
      <c r="C211" s="39"/>
      <c r="D211" s="39"/>
      <c r="E211" s="39"/>
    </row>
    <row r="212" spans="3:5" x14ac:dyDescent="0.2">
      <c r="C212" s="39"/>
      <c r="D212" s="39"/>
      <c r="E212" s="39"/>
    </row>
    <row r="213" spans="3:5" x14ac:dyDescent="0.2">
      <c r="C213" s="39"/>
      <c r="D213" s="39"/>
      <c r="E213" s="39"/>
    </row>
    <row r="214" spans="3:5" x14ac:dyDescent="0.2">
      <c r="C214" s="39"/>
      <c r="D214" s="39"/>
      <c r="E214" s="39"/>
    </row>
    <row r="215" spans="3:5" x14ac:dyDescent="0.2">
      <c r="C215" s="39"/>
      <c r="D215" s="39"/>
      <c r="E215" s="39"/>
    </row>
    <row r="216" spans="3:5" x14ac:dyDescent="0.2">
      <c r="C216" s="39"/>
      <c r="D216" s="39"/>
      <c r="E216" s="39"/>
    </row>
    <row r="217" spans="3:5" x14ac:dyDescent="0.2">
      <c r="C217" s="39"/>
      <c r="D217" s="39"/>
      <c r="E217" s="39"/>
    </row>
    <row r="218" spans="3:5" x14ac:dyDescent="0.2">
      <c r="C218" s="39"/>
      <c r="D218" s="39"/>
      <c r="E218" s="39"/>
    </row>
    <row r="219" spans="3:5" x14ac:dyDescent="0.2">
      <c r="C219" s="39"/>
      <c r="D219" s="39"/>
      <c r="E219" s="39"/>
    </row>
    <row r="220" spans="3:5" x14ac:dyDescent="0.2">
      <c r="C220" s="39"/>
      <c r="D220" s="39"/>
      <c r="E220" s="39"/>
    </row>
    <row r="221" spans="3:5" x14ac:dyDescent="0.2">
      <c r="C221" s="39"/>
      <c r="D221" s="39"/>
      <c r="E221" s="39"/>
    </row>
    <row r="222" spans="3:5" x14ac:dyDescent="0.2">
      <c r="C222" s="39"/>
      <c r="D222" s="39"/>
      <c r="E222" s="39"/>
    </row>
    <row r="223" spans="3:5" x14ac:dyDescent="0.2">
      <c r="C223" s="39"/>
      <c r="D223" s="39"/>
      <c r="E223" s="39"/>
    </row>
    <row r="224" spans="3:5" x14ac:dyDescent="0.2">
      <c r="C224" s="39"/>
      <c r="D224" s="39"/>
      <c r="E224" s="39"/>
    </row>
    <row r="225" spans="3:5" x14ac:dyDescent="0.2">
      <c r="C225" s="39"/>
      <c r="D225" s="39"/>
      <c r="E225" s="39"/>
    </row>
    <row r="226" spans="3:5" x14ac:dyDescent="0.2">
      <c r="C226" s="39"/>
      <c r="D226" s="39"/>
      <c r="E226" s="39"/>
    </row>
    <row r="227" spans="3:5" x14ac:dyDescent="0.2">
      <c r="C227" s="39"/>
      <c r="D227" s="39"/>
      <c r="E227" s="39"/>
    </row>
    <row r="228" spans="3:5" x14ac:dyDescent="0.2">
      <c r="C228" s="39"/>
      <c r="D228" s="39"/>
      <c r="E228" s="39"/>
    </row>
    <row r="229" spans="3:5" x14ac:dyDescent="0.2">
      <c r="C229" s="39"/>
      <c r="D229" s="39"/>
      <c r="E229" s="39"/>
    </row>
    <row r="230" spans="3:5" x14ac:dyDescent="0.2">
      <c r="C230" s="39"/>
      <c r="D230" s="39"/>
      <c r="E230" s="39"/>
    </row>
    <row r="231" spans="3:5" x14ac:dyDescent="0.2">
      <c r="C231" s="39"/>
      <c r="D231" s="39"/>
      <c r="E231" s="39"/>
    </row>
    <row r="232" spans="3:5" x14ac:dyDescent="0.2">
      <c r="C232" s="39"/>
      <c r="D232" s="39"/>
      <c r="E232" s="39"/>
    </row>
    <row r="233" spans="3:5" x14ac:dyDescent="0.2">
      <c r="C233" s="39"/>
      <c r="D233" s="39"/>
      <c r="E233" s="39"/>
    </row>
    <row r="234" spans="3:5" x14ac:dyDescent="0.2">
      <c r="C234" s="39"/>
      <c r="D234" s="39"/>
      <c r="E234" s="39"/>
    </row>
    <row r="235" spans="3:5" x14ac:dyDescent="0.2">
      <c r="C235" s="39"/>
      <c r="D235" s="39"/>
      <c r="E235" s="39"/>
    </row>
    <row r="236" spans="3:5" x14ac:dyDescent="0.2">
      <c r="C236" s="39"/>
      <c r="D236" s="39"/>
      <c r="E236" s="39"/>
    </row>
    <row r="237" spans="3:5" x14ac:dyDescent="0.2">
      <c r="C237" s="39"/>
      <c r="D237" s="39"/>
      <c r="E237" s="39"/>
    </row>
    <row r="238" spans="3:5" x14ac:dyDescent="0.2">
      <c r="C238" s="39"/>
      <c r="D238" s="39"/>
      <c r="E238" s="39"/>
    </row>
    <row r="239" spans="3:5" x14ac:dyDescent="0.2">
      <c r="C239" s="39"/>
      <c r="D239" s="39"/>
      <c r="E239" s="39"/>
    </row>
    <row r="240" spans="3:5" x14ac:dyDescent="0.2">
      <c r="C240" s="39"/>
      <c r="D240" s="39"/>
      <c r="E240" s="39"/>
    </row>
    <row r="241" spans="3:5" x14ac:dyDescent="0.2">
      <c r="C241" s="39"/>
      <c r="D241" s="39"/>
      <c r="E241" s="39"/>
    </row>
    <row r="242" spans="3:5" x14ac:dyDescent="0.2">
      <c r="C242" s="39"/>
      <c r="D242" s="39"/>
      <c r="E242" s="39"/>
    </row>
    <row r="243" spans="3:5" x14ac:dyDescent="0.2">
      <c r="C243" s="39"/>
      <c r="D243" s="39"/>
      <c r="E243" s="39"/>
    </row>
    <row r="244" spans="3:5" x14ac:dyDescent="0.2">
      <c r="C244" s="39"/>
      <c r="D244" s="39"/>
      <c r="E244" s="39"/>
    </row>
    <row r="245" spans="3:5" x14ac:dyDescent="0.2">
      <c r="C245" s="39"/>
      <c r="D245" s="39"/>
      <c r="E245" s="39"/>
    </row>
    <row r="246" spans="3:5" x14ac:dyDescent="0.2">
      <c r="C246" s="39"/>
      <c r="D246" s="39"/>
      <c r="E246" s="39"/>
    </row>
    <row r="247" spans="3:5" x14ac:dyDescent="0.2">
      <c r="C247" s="39"/>
      <c r="D247" s="39"/>
      <c r="E247" s="39"/>
    </row>
    <row r="248" spans="3:5" x14ac:dyDescent="0.2">
      <c r="C248" s="39"/>
      <c r="D248" s="39"/>
      <c r="E248" s="39"/>
    </row>
    <row r="249" spans="3:5" x14ac:dyDescent="0.2">
      <c r="C249" s="39"/>
      <c r="D249" s="39"/>
      <c r="E249" s="39"/>
    </row>
    <row r="250" spans="3:5" x14ac:dyDescent="0.2">
      <c r="C250" s="39"/>
      <c r="D250" s="39"/>
      <c r="E250" s="39"/>
    </row>
    <row r="251" spans="3:5" x14ac:dyDescent="0.2">
      <c r="C251" s="39"/>
      <c r="D251" s="39"/>
      <c r="E251" s="39"/>
    </row>
    <row r="252" spans="3:5" x14ac:dyDescent="0.2">
      <c r="C252" s="39"/>
      <c r="D252" s="39"/>
      <c r="E252" s="39"/>
    </row>
    <row r="253" spans="3:5" x14ac:dyDescent="0.2">
      <c r="C253" s="39"/>
      <c r="D253" s="39"/>
      <c r="E253" s="39"/>
    </row>
    <row r="254" spans="3:5" x14ac:dyDescent="0.2">
      <c r="C254" s="39"/>
      <c r="D254" s="39"/>
      <c r="E254" s="39"/>
    </row>
    <row r="255" spans="3:5" x14ac:dyDescent="0.2">
      <c r="C255" s="39"/>
      <c r="D255" s="39"/>
      <c r="E255" s="39"/>
    </row>
    <row r="256" spans="3:5" x14ac:dyDescent="0.2">
      <c r="C256" s="39"/>
      <c r="D256" s="39"/>
      <c r="E256" s="39"/>
    </row>
    <row r="257" spans="3:5" x14ac:dyDescent="0.2">
      <c r="C257" s="39"/>
      <c r="D257" s="39"/>
      <c r="E257" s="39"/>
    </row>
    <row r="258" spans="3:5" x14ac:dyDescent="0.2">
      <c r="C258" s="39"/>
      <c r="D258" s="39"/>
      <c r="E258" s="39"/>
    </row>
    <row r="259" spans="3:5" x14ac:dyDescent="0.2">
      <c r="C259" s="39"/>
      <c r="D259" s="39"/>
      <c r="E259" s="39"/>
    </row>
    <row r="260" spans="3:5" x14ac:dyDescent="0.2">
      <c r="C260" s="39"/>
      <c r="D260" s="39"/>
      <c r="E260" s="39"/>
    </row>
    <row r="261" spans="3:5" x14ac:dyDescent="0.2">
      <c r="C261" s="39"/>
      <c r="D261" s="39"/>
      <c r="E261" s="39"/>
    </row>
    <row r="262" spans="3:5" x14ac:dyDescent="0.2">
      <c r="C262" s="39"/>
      <c r="D262" s="39"/>
      <c r="E262" s="39"/>
    </row>
    <row r="263" spans="3:5" x14ac:dyDescent="0.2">
      <c r="C263" s="39"/>
      <c r="D263" s="39"/>
      <c r="E263" s="39"/>
    </row>
    <row r="264" spans="3:5" x14ac:dyDescent="0.2">
      <c r="C264" s="39"/>
      <c r="D264" s="39"/>
      <c r="E264" s="39"/>
    </row>
    <row r="265" spans="3:5" x14ac:dyDescent="0.2">
      <c r="C265" s="39"/>
      <c r="D265" s="39"/>
      <c r="E265" s="39"/>
    </row>
    <row r="266" spans="3:5" x14ac:dyDescent="0.2">
      <c r="C266" s="39"/>
      <c r="D266" s="39"/>
      <c r="E266" s="39"/>
    </row>
    <row r="267" spans="3:5" x14ac:dyDescent="0.2">
      <c r="C267" s="39"/>
      <c r="D267" s="39"/>
      <c r="E267" s="39"/>
    </row>
    <row r="268" spans="3:5" x14ac:dyDescent="0.2">
      <c r="C268" s="39"/>
      <c r="D268" s="39"/>
      <c r="E268" s="39"/>
    </row>
    <row r="269" spans="3:5" x14ac:dyDescent="0.2">
      <c r="C269" s="39"/>
      <c r="D269" s="39"/>
      <c r="E269" s="39"/>
    </row>
    <row r="270" spans="3:5" x14ac:dyDescent="0.2">
      <c r="C270" s="39"/>
      <c r="D270" s="39"/>
      <c r="E270" s="39"/>
    </row>
    <row r="271" spans="3:5" x14ac:dyDescent="0.2">
      <c r="C271" s="39"/>
      <c r="D271" s="39"/>
      <c r="E271" s="39"/>
    </row>
    <row r="272" spans="3:5" x14ac:dyDescent="0.2">
      <c r="C272" s="39"/>
      <c r="D272" s="39"/>
      <c r="E272" s="39"/>
    </row>
    <row r="273" spans="3:5" x14ac:dyDescent="0.2">
      <c r="C273" s="39"/>
      <c r="D273" s="39"/>
      <c r="E273" s="39"/>
    </row>
    <row r="274" spans="3:5" x14ac:dyDescent="0.2">
      <c r="C274" s="39"/>
      <c r="D274" s="39"/>
      <c r="E274" s="39"/>
    </row>
    <row r="275" spans="3:5" x14ac:dyDescent="0.2">
      <c r="C275" s="39"/>
      <c r="D275" s="39"/>
      <c r="E275" s="39"/>
    </row>
    <row r="276" spans="3:5" x14ac:dyDescent="0.2">
      <c r="C276" s="39"/>
      <c r="D276" s="39"/>
      <c r="E276" s="39"/>
    </row>
    <row r="277" spans="3:5" x14ac:dyDescent="0.2">
      <c r="C277" s="39"/>
      <c r="D277" s="39"/>
      <c r="E277" s="39"/>
    </row>
    <row r="278" spans="3:5" x14ac:dyDescent="0.2">
      <c r="C278" s="39"/>
      <c r="D278" s="39"/>
      <c r="E278" s="39"/>
    </row>
    <row r="279" spans="3:5" x14ac:dyDescent="0.2">
      <c r="C279" s="39"/>
      <c r="D279" s="39"/>
      <c r="E279" s="39"/>
    </row>
    <row r="280" spans="3:5" x14ac:dyDescent="0.2">
      <c r="C280" s="39"/>
      <c r="D280" s="39"/>
      <c r="E280" s="39"/>
    </row>
    <row r="281" spans="3:5" x14ac:dyDescent="0.2">
      <c r="C281" s="39"/>
      <c r="D281" s="39"/>
      <c r="E281" s="39"/>
    </row>
    <row r="282" spans="3:5" x14ac:dyDescent="0.2">
      <c r="C282" s="39"/>
      <c r="D282" s="39"/>
      <c r="E282" s="39"/>
    </row>
    <row r="283" spans="3:5" x14ac:dyDescent="0.2">
      <c r="C283" s="39"/>
      <c r="D283" s="39"/>
      <c r="E283" s="39"/>
    </row>
    <row r="284" spans="3:5" x14ac:dyDescent="0.2">
      <c r="C284" s="39"/>
      <c r="D284" s="39"/>
      <c r="E284" s="39"/>
    </row>
    <row r="285" spans="3:5" x14ac:dyDescent="0.2">
      <c r="C285" s="39"/>
      <c r="D285" s="39"/>
      <c r="E285" s="39"/>
    </row>
    <row r="286" spans="3:5" x14ac:dyDescent="0.2">
      <c r="C286" s="39"/>
      <c r="D286" s="39"/>
      <c r="E286" s="39"/>
    </row>
    <row r="287" spans="3:5" x14ac:dyDescent="0.2">
      <c r="C287" s="39"/>
      <c r="D287" s="39"/>
      <c r="E287" s="39"/>
    </row>
    <row r="288" spans="3:5" x14ac:dyDescent="0.2">
      <c r="C288" s="39"/>
      <c r="D288" s="39"/>
      <c r="E288" s="39"/>
    </row>
    <row r="289" spans="3:5" x14ac:dyDescent="0.2">
      <c r="C289" s="39"/>
      <c r="D289" s="39"/>
      <c r="E289" s="39"/>
    </row>
    <row r="290" spans="3:5" x14ac:dyDescent="0.2">
      <c r="C290" s="39"/>
      <c r="D290" s="39"/>
      <c r="E290" s="39"/>
    </row>
    <row r="291" spans="3:5" x14ac:dyDescent="0.2">
      <c r="C291" s="39"/>
      <c r="D291" s="39"/>
      <c r="E291" s="39"/>
    </row>
    <row r="292" spans="3:5" x14ac:dyDescent="0.2">
      <c r="C292" s="39"/>
      <c r="D292" s="39"/>
      <c r="E292" s="39"/>
    </row>
    <row r="293" spans="3:5" x14ac:dyDescent="0.2">
      <c r="C293" s="39"/>
      <c r="D293" s="39"/>
      <c r="E293" s="39"/>
    </row>
    <row r="294" spans="3:5" x14ac:dyDescent="0.2">
      <c r="C294" s="39"/>
      <c r="D294" s="39"/>
      <c r="E294" s="39"/>
    </row>
    <row r="295" spans="3:5" x14ac:dyDescent="0.2">
      <c r="C295" s="39"/>
      <c r="D295" s="39"/>
      <c r="E295" s="39"/>
    </row>
    <row r="296" spans="3:5" x14ac:dyDescent="0.2">
      <c r="C296" s="39"/>
      <c r="D296" s="39"/>
      <c r="E296" s="39"/>
    </row>
    <row r="297" spans="3:5" x14ac:dyDescent="0.2">
      <c r="C297" s="39"/>
      <c r="D297" s="39"/>
      <c r="E297" s="39"/>
    </row>
    <row r="298" spans="3:5" x14ac:dyDescent="0.2">
      <c r="C298" s="39"/>
      <c r="D298" s="39"/>
      <c r="E298" s="39"/>
    </row>
    <row r="299" spans="3:5" x14ac:dyDescent="0.2">
      <c r="C299" s="39"/>
      <c r="D299" s="39"/>
      <c r="E299" s="39"/>
    </row>
    <row r="300" spans="3:5" x14ac:dyDescent="0.2">
      <c r="C300" s="39"/>
      <c r="D300" s="39"/>
      <c r="E300" s="39"/>
    </row>
    <row r="301" spans="3:5" x14ac:dyDescent="0.2">
      <c r="C301" s="39"/>
      <c r="D301" s="39"/>
      <c r="E301" s="39"/>
    </row>
    <row r="302" spans="3:5" x14ac:dyDescent="0.2">
      <c r="C302" s="39"/>
      <c r="D302" s="39"/>
      <c r="E302" s="39"/>
    </row>
    <row r="303" spans="3:5" x14ac:dyDescent="0.2">
      <c r="C303" s="39"/>
      <c r="D303" s="39"/>
      <c r="E303" s="39"/>
    </row>
    <row r="304" spans="3:5" x14ac:dyDescent="0.2">
      <c r="C304" s="39"/>
      <c r="D304" s="39"/>
      <c r="E304" s="39"/>
    </row>
    <row r="305" spans="3:5" x14ac:dyDescent="0.2">
      <c r="C305" s="39"/>
      <c r="D305" s="39"/>
      <c r="E305" s="39"/>
    </row>
    <row r="306" spans="3:5" x14ac:dyDescent="0.2">
      <c r="C306" s="39"/>
      <c r="D306" s="39"/>
      <c r="E306" s="39"/>
    </row>
    <row r="307" spans="3:5" x14ac:dyDescent="0.2">
      <c r="C307" s="39"/>
      <c r="D307" s="39"/>
      <c r="E307" s="39"/>
    </row>
    <row r="308" spans="3:5" x14ac:dyDescent="0.2">
      <c r="C308" s="39"/>
      <c r="D308" s="39"/>
      <c r="E308" s="39"/>
    </row>
    <row r="309" spans="3:5" x14ac:dyDescent="0.2">
      <c r="C309" s="39"/>
      <c r="D309" s="39"/>
      <c r="E309" s="39"/>
    </row>
    <row r="310" spans="3:5" x14ac:dyDescent="0.2">
      <c r="C310" s="39"/>
      <c r="D310" s="39"/>
      <c r="E310" s="39"/>
    </row>
    <row r="311" spans="3:5" x14ac:dyDescent="0.2">
      <c r="C311" s="39"/>
      <c r="D311" s="39"/>
      <c r="E311" s="39"/>
    </row>
    <row r="312" spans="3:5" x14ac:dyDescent="0.2">
      <c r="C312" s="39"/>
      <c r="D312" s="39"/>
      <c r="E312" s="39"/>
    </row>
    <row r="313" spans="3:5" x14ac:dyDescent="0.2">
      <c r="C313" s="39"/>
      <c r="D313" s="39"/>
      <c r="E313" s="39"/>
    </row>
    <row r="314" spans="3:5" x14ac:dyDescent="0.2">
      <c r="C314" s="39"/>
      <c r="D314" s="39"/>
      <c r="E314" s="39"/>
    </row>
    <row r="315" spans="3:5" x14ac:dyDescent="0.2">
      <c r="C315" s="39"/>
      <c r="D315" s="39"/>
      <c r="E315" s="39"/>
    </row>
    <row r="316" spans="3:5" x14ac:dyDescent="0.2">
      <c r="C316" s="39"/>
      <c r="D316" s="39"/>
      <c r="E316" s="39"/>
    </row>
    <row r="317" spans="3:5" x14ac:dyDescent="0.2">
      <c r="C317" s="39"/>
      <c r="D317" s="39"/>
      <c r="E317" s="39"/>
    </row>
    <row r="318" spans="3:5" x14ac:dyDescent="0.2">
      <c r="C318" s="39"/>
      <c r="D318" s="39"/>
      <c r="E318" s="39"/>
    </row>
    <row r="319" spans="3:5" x14ac:dyDescent="0.2">
      <c r="C319" s="39"/>
      <c r="D319" s="39"/>
      <c r="E319" s="39"/>
    </row>
    <row r="320" spans="3:5" x14ac:dyDescent="0.2">
      <c r="C320" s="39"/>
      <c r="D320" s="39"/>
      <c r="E320" s="39"/>
    </row>
    <row r="321" spans="3:5" x14ac:dyDescent="0.2">
      <c r="C321" s="39"/>
      <c r="D321" s="39"/>
      <c r="E321" s="39"/>
    </row>
    <row r="322" spans="3:5" x14ac:dyDescent="0.2">
      <c r="C322" s="39"/>
      <c r="D322" s="39"/>
      <c r="E322" s="39"/>
    </row>
    <row r="323" spans="3:5" x14ac:dyDescent="0.2">
      <c r="C323" s="39"/>
      <c r="D323" s="39"/>
      <c r="E323" s="39"/>
    </row>
    <row r="324" spans="3:5" x14ac:dyDescent="0.2">
      <c r="C324" s="39"/>
      <c r="D324" s="39"/>
      <c r="E324" s="39"/>
    </row>
    <row r="325" spans="3:5" x14ac:dyDescent="0.2">
      <c r="C325" s="39"/>
      <c r="D325" s="39"/>
      <c r="E325" s="39"/>
    </row>
    <row r="326" spans="3:5" x14ac:dyDescent="0.2">
      <c r="C326" s="39"/>
      <c r="D326" s="39"/>
      <c r="E326" s="39"/>
    </row>
    <row r="327" spans="3:5" x14ac:dyDescent="0.2">
      <c r="C327" s="39"/>
      <c r="D327" s="39"/>
      <c r="E327" s="39"/>
    </row>
    <row r="328" spans="3:5" x14ac:dyDescent="0.2">
      <c r="C328" s="39"/>
      <c r="D328" s="39"/>
      <c r="E328" s="39"/>
    </row>
    <row r="329" spans="3:5" x14ac:dyDescent="0.2">
      <c r="C329" s="39"/>
      <c r="D329" s="39"/>
      <c r="E329" s="39"/>
    </row>
    <row r="330" spans="3:5" x14ac:dyDescent="0.2">
      <c r="C330" s="39"/>
      <c r="D330" s="39"/>
      <c r="E330" s="39"/>
    </row>
    <row r="331" spans="3:5" x14ac:dyDescent="0.2">
      <c r="C331" s="39"/>
      <c r="D331" s="39"/>
      <c r="E331" s="39"/>
    </row>
    <row r="332" spans="3:5" x14ac:dyDescent="0.2">
      <c r="C332" s="39"/>
      <c r="D332" s="39"/>
      <c r="E332" s="39"/>
    </row>
    <row r="333" spans="3:5" x14ac:dyDescent="0.2">
      <c r="C333" s="39"/>
      <c r="D333" s="39"/>
      <c r="E333" s="39"/>
    </row>
    <row r="334" spans="3:5" x14ac:dyDescent="0.2">
      <c r="C334" s="39"/>
      <c r="D334" s="39"/>
      <c r="E334" s="39"/>
    </row>
    <row r="335" spans="3:5" x14ac:dyDescent="0.2">
      <c r="C335" s="39"/>
      <c r="D335" s="39"/>
      <c r="E335" s="39"/>
    </row>
    <row r="336" spans="3:5" x14ac:dyDescent="0.2">
      <c r="C336" s="39"/>
      <c r="D336" s="39"/>
      <c r="E336" s="39"/>
    </row>
    <row r="337" spans="3:5" x14ac:dyDescent="0.2">
      <c r="C337" s="39"/>
      <c r="D337" s="39"/>
      <c r="E337" s="39"/>
    </row>
    <row r="338" spans="3:5" x14ac:dyDescent="0.2">
      <c r="C338" s="39"/>
      <c r="D338" s="39"/>
      <c r="E338" s="39"/>
    </row>
    <row r="339" spans="3:5" x14ac:dyDescent="0.2">
      <c r="C339" s="39"/>
      <c r="D339" s="39"/>
      <c r="E339" s="39"/>
    </row>
    <row r="340" spans="3:5" x14ac:dyDescent="0.2">
      <c r="C340" s="39"/>
      <c r="D340" s="39"/>
      <c r="E340" s="39"/>
    </row>
    <row r="341" spans="3:5" x14ac:dyDescent="0.2">
      <c r="C341" s="39"/>
      <c r="D341" s="39"/>
      <c r="E341" s="39"/>
    </row>
    <row r="342" spans="3:5" x14ac:dyDescent="0.2">
      <c r="C342" s="39"/>
      <c r="D342" s="39"/>
      <c r="E342" s="39"/>
    </row>
    <row r="343" spans="3:5" x14ac:dyDescent="0.2">
      <c r="C343" s="39"/>
      <c r="D343" s="39"/>
      <c r="E343" s="39"/>
    </row>
    <row r="344" spans="3:5" x14ac:dyDescent="0.2">
      <c r="C344" s="39"/>
      <c r="D344" s="39"/>
      <c r="E344" s="39"/>
    </row>
    <row r="345" spans="3:5" x14ac:dyDescent="0.2">
      <c r="C345" s="39"/>
      <c r="D345" s="39"/>
      <c r="E345" s="39"/>
    </row>
    <row r="346" spans="3:5" x14ac:dyDescent="0.2">
      <c r="C346" s="39"/>
      <c r="D346" s="39"/>
      <c r="E346" s="39"/>
    </row>
    <row r="347" spans="3:5" x14ac:dyDescent="0.2">
      <c r="C347" s="39"/>
      <c r="D347" s="39"/>
      <c r="E347" s="39"/>
    </row>
    <row r="348" spans="3:5" x14ac:dyDescent="0.2">
      <c r="C348" s="39"/>
      <c r="D348" s="39"/>
      <c r="E348" s="39"/>
    </row>
    <row r="349" spans="3:5" x14ac:dyDescent="0.2">
      <c r="C349" s="39"/>
      <c r="D349" s="39"/>
      <c r="E349" s="39"/>
    </row>
    <row r="350" spans="3:5" x14ac:dyDescent="0.2">
      <c r="C350" s="39"/>
      <c r="D350" s="39"/>
      <c r="E350" s="39"/>
    </row>
    <row r="351" spans="3:5" x14ac:dyDescent="0.2">
      <c r="C351" s="39"/>
      <c r="D351" s="39"/>
      <c r="E351" s="39"/>
    </row>
    <row r="352" spans="3:5" x14ac:dyDescent="0.2">
      <c r="C352" s="39"/>
      <c r="D352" s="39"/>
      <c r="E352" s="39"/>
    </row>
    <row r="353" spans="3:5" x14ac:dyDescent="0.2">
      <c r="C353" s="39"/>
      <c r="D353" s="39"/>
      <c r="E353" s="39"/>
    </row>
    <row r="354" spans="3:5" x14ac:dyDescent="0.2">
      <c r="C354" s="39"/>
      <c r="D354" s="39"/>
      <c r="E354" s="39"/>
    </row>
    <row r="355" spans="3:5" x14ac:dyDescent="0.2">
      <c r="C355" s="39"/>
      <c r="D355" s="39"/>
      <c r="E355" s="39"/>
    </row>
    <row r="356" spans="3:5" x14ac:dyDescent="0.2">
      <c r="C356" s="39"/>
      <c r="D356" s="39"/>
      <c r="E356" s="39"/>
    </row>
    <row r="357" spans="3:5" x14ac:dyDescent="0.2">
      <c r="C357" s="39"/>
      <c r="D357" s="39"/>
      <c r="E357" s="39"/>
    </row>
    <row r="358" spans="3:5" x14ac:dyDescent="0.2">
      <c r="C358" s="39"/>
      <c r="D358" s="39"/>
      <c r="E358" s="39"/>
    </row>
    <row r="359" spans="3:5" x14ac:dyDescent="0.2">
      <c r="C359" s="39"/>
      <c r="D359" s="39"/>
      <c r="E359" s="39"/>
    </row>
    <row r="360" spans="3:5" x14ac:dyDescent="0.2">
      <c r="C360" s="39"/>
      <c r="D360" s="39"/>
      <c r="E360" s="39"/>
    </row>
    <row r="361" spans="3:5" x14ac:dyDescent="0.2">
      <c r="C361" s="39"/>
      <c r="D361" s="39"/>
      <c r="E361" s="39"/>
    </row>
    <row r="362" spans="3:5" x14ac:dyDescent="0.2">
      <c r="C362" s="39"/>
      <c r="D362" s="39"/>
      <c r="E362" s="39"/>
    </row>
    <row r="363" spans="3:5" x14ac:dyDescent="0.2">
      <c r="C363" s="39"/>
      <c r="D363" s="39"/>
      <c r="E363" s="39"/>
    </row>
    <row r="364" spans="3:5" x14ac:dyDescent="0.2">
      <c r="C364" s="39"/>
      <c r="D364" s="39"/>
      <c r="E364" s="39"/>
    </row>
    <row r="365" spans="3:5" x14ac:dyDescent="0.2">
      <c r="C365" s="39"/>
      <c r="D365" s="39"/>
      <c r="E365" s="39"/>
    </row>
    <row r="366" spans="3:5" x14ac:dyDescent="0.2">
      <c r="C366" s="39"/>
      <c r="D366" s="39"/>
      <c r="E366" s="39"/>
    </row>
    <row r="367" spans="3:5" x14ac:dyDescent="0.2">
      <c r="C367" s="39"/>
      <c r="D367" s="39"/>
      <c r="E367" s="39"/>
    </row>
    <row r="368" spans="3:5" x14ac:dyDescent="0.2">
      <c r="C368" s="39"/>
      <c r="D368" s="39"/>
      <c r="E368" s="39"/>
    </row>
    <row r="369" spans="3:5" x14ac:dyDescent="0.2">
      <c r="C369" s="39"/>
      <c r="D369" s="39"/>
      <c r="E369" s="39"/>
    </row>
    <row r="370" spans="3:5" x14ac:dyDescent="0.2">
      <c r="C370" s="39"/>
      <c r="D370" s="39"/>
      <c r="E370" s="39"/>
    </row>
    <row r="371" spans="3:5" x14ac:dyDescent="0.2">
      <c r="C371" s="39"/>
      <c r="D371" s="39"/>
      <c r="E371" s="39"/>
    </row>
    <row r="372" spans="3:5" x14ac:dyDescent="0.2">
      <c r="C372" s="39"/>
      <c r="D372" s="39"/>
      <c r="E372" s="39"/>
    </row>
    <row r="373" spans="3:5" x14ac:dyDescent="0.2">
      <c r="C373" s="39"/>
      <c r="D373" s="39"/>
      <c r="E373" s="39"/>
    </row>
    <row r="374" spans="3:5" x14ac:dyDescent="0.2">
      <c r="C374" s="39"/>
      <c r="D374" s="39"/>
      <c r="E374" s="39"/>
    </row>
    <row r="375" spans="3:5" x14ac:dyDescent="0.2">
      <c r="C375" s="39"/>
      <c r="D375" s="39"/>
      <c r="E375" s="39"/>
    </row>
    <row r="376" spans="3:5" x14ac:dyDescent="0.2">
      <c r="C376" s="39"/>
      <c r="D376" s="39"/>
      <c r="E376" s="39"/>
    </row>
    <row r="377" spans="3:5" x14ac:dyDescent="0.2">
      <c r="C377" s="39"/>
      <c r="D377" s="39"/>
      <c r="E377" s="39"/>
    </row>
    <row r="378" spans="3:5" x14ac:dyDescent="0.2">
      <c r="C378" s="39"/>
      <c r="D378" s="39"/>
      <c r="E378" s="39"/>
    </row>
    <row r="379" spans="3:5" x14ac:dyDescent="0.2">
      <c r="C379" s="39"/>
      <c r="D379" s="39"/>
      <c r="E379" s="39"/>
    </row>
    <row r="380" spans="3:5" x14ac:dyDescent="0.2">
      <c r="C380" s="39"/>
      <c r="D380" s="39"/>
      <c r="E380" s="39"/>
    </row>
    <row r="381" spans="3:5" x14ac:dyDescent="0.2">
      <c r="C381" s="39"/>
      <c r="D381" s="39"/>
      <c r="E381" s="39"/>
    </row>
    <row r="382" spans="3:5" x14ac:dyDescent="0.2">
      <c r="C382" s="39"/>
      <c r="D382" s="39"/>
      <c r="E382" s="39"/>
    </row>
    <row r="383" spans="3:5" x14ac:dyDescent="0.2">
      <c r="C383" s="39"/>
      <c r="D383" s="39"/>
      <c r="E383" s="39"/>
    </row>
    <row r="384" spans="3:5" x14ac:dyDescent="0.2">
      <c r="C384" s="39"/>
      <c r="D384" s="39"/>
      <c r="E384" s="39"/>
    </row>
    <row r="385" spans="3:5" x14ac:dyDescent="0.2">
      <c r="C385" s="39"/>
      <c r="D385" s="39"/>
      <c r="E385" s="39"/>
    </row>
    <row r="386" spans="3:5" x14ac:dyDescent="0.2">
      <c r="C386" s="39"/>
      <c r="D386" s="39"/>
      <c r="E386" s="39"/>
    </row>
    <row r="387" spans="3:5" x14ac:dyDescent="0.2">
      <c r="C387" s="39"/>
      <c r="D387" s="39"/>
      <c r="E387" s="39"/>
    </row>
    <row r="388" spans="3:5" x14ac:dyDescent="0.2">
      <c r="C388" s="39"/>
      <c r="D388" s="39"/>
      <c r="E388" s="39"/>
    </row>
    <row r="389" spans="3:5" x14ac:dyDescent="0.2">
      <c r="C389" s="39"/>
      <c r="D389" s="39"/>
      <c r="E389" s="39"/>
    </row>
    <row r="390" spans="3:5" x14ac:dyDescent="0.2">
      <c r="C390" s="39"/>
      <c r="D390" s="39"/>
      <c r="E390" s="39"/>
    </row>
    <row r="391" spans="3:5" x14ac:dyDescent="0.2">
      <c r="C391" s="39"/>
      <c r="D391" s="39"/>
      <c r="E391" s="39"/>
    </row>
    <row r="392" spans="3:5" x14ac:dyDescent="0.2">
      <c r="C392" s="39"/>
      <c r="D392" s="39"/>
      <c r="E392" s="39"/>
    </row>
    <row r="393" spans="3:5" x14ac:dyDescent="0.2">
      <c r="C393" s="39"/>
      <c r="D393" s="39"/>
      <c r="E393" s="39"/>
    </row>
    <row r="394" spans="3:5" x14ac:dyDescent="0.2">
      <c r="C394" s="39"/>
      <c r="D394" s="39"/>
      <c r="E394" s="39"/>
    </row>
    <row r="395" spans="3:5" x14ac:dyDescent="0.2">
      <c r="C395" s="39"/>
      <c r="D395" s="39"/>
      <c r="E395" s="39"/>
    </row>
    <row r="396" spans="3:5" x14ac:dyDescent="0.2">
      <c r="C396" s="39"/>
      <c r="D396" s="39"/>
      <c r="E396" s="39"/>
    </row>
    <row r="397" spans="3:5" x14ac:dyDescent="0.2">
      <c r="C397" s="39"/>
      <c r="D397" s="39"/>
      <c r="E397" s="39"/>
    </row>
    <row r="398" spans="3:5" x14ac:dyDescent="0.2">
      <c r="C398" s="39"/>
      <c r="D398" s="39"/>
      <c r="E398" s="39"/>
    </row>
    <row r="399" spans="3:5" x14ac:dyDescent="0.2">
      <c r="C399" s="39"/>
      <c r="D399" s="39"/>
      <c r="E399" s="39"/>
    </row>
    <row r="400" spans="3:5" x14ac:dyDescent="0.2">
      <c r="C400" s="39"/>
      <c r="D400" s="39"/>
      <c r="E400" s="39"/>
    </row>
    <row r="401" spans="3:5" x14ac:dyDescent="0.2">
      <c r="C401" s="39"/>
      <c r="D401" s="39"/>
      <c r="E401" s="39"/>
    </row>
    <row r="402" spans="3:5" x14ac:dyDescent="0.2">
      <c r="C402" s="39"/>
      <c r="D402" s="39"/>
      <c r="E402" s="39"/>
    </row>
    <row r="403" spans="3:5" x14ac:dyDescent="0.2">
      <c r="C403" s="39"/>
      <c r="D403" s="39"/>
      <c r="E403" s="39"/>
    </row>
    <row r="404" spans="3:5" x14ac:dyDescent="0.2">
      <c r="C404" s="39"/>
      <c r="D404" s="39"/>
      <c r="E404" s="39"/>
    </row>
    <row r="405" spans="3:5" x14ac:dyDescent="0.2">
      <c r="C405" s="39"/>
      <c r="D405" s="39"/>
      <c r="E405" s="39"/>
    </row>
    <row r="406" spans="3:5" x14ac:dyDescent="0.2">
      <c r="C406" s="39"/>
      <c r="D406" s="39"/>
      <c r="E406" s="39"/>
    </row>
  </sheetData>
  <pageMargins left="0.7" right="0.7" top="0.75" bottom="0.75" header="0.3" footer="0.3"/>
  <pageSetup paperSize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  <pageSetUpPr fitToPage="1"/>
  </sheetPr>
  <dimension ref="A1:Q121"/>
  <sheetViews>
    <sheetView zoomScale="90" zoomScaleNormal="90" workbookViewId="0">
      <pane ySplit="2" topLeftCell="A81" activePane="bottomLeft" state="frozen"/>
      <selection activeCell="N51" sqref="N51"/>
      <selection pane="bottomLeft" activeCell="D12" sqref="D12"/>
    </sheetView>
  </sheetViews>
  <sheetFormatPr defaultRowHeight="15" x14ac:dyDescent="0.25"/>
  <cols>
    <col min="1" max="1" width="61.5703125" bestFit="1" customWidth="1"/>
    <col min="2" max="2" width="1.7109375" style="2" customWidth="1"/>
    <col min="3" max="5" width="13.7109375" style="2" customWidth="1"/>
    <col min="6" max="6" width="1.7109375" style="2" customWidth="1"/>
    <col min="7" max="8" width="13.7109375" style="1" customWidth="1"/>
    <col min="9" max="9" width="1.7109375" style="2" customWidth="1"/>
    <col min="10" max="10" width="9.140625" style="27" customWidth="1"/>
    <col min="11" max="11" width="9.140625" style="2"/>
    <col min="12" max="12" width="46.85546875" bestFit="1" customWidth="1"/>
  </cols>
  <sheetData>
    <row r="1" spans="1:12" ht="15.75" thickBot="1" x14ac:dyDescent="0.3"/>
    <row r="2" spans="1:12" s="11" customFormat="1" ht="16.5" thickBot="1" x14ac:dyDescent="0.3">
      <c r="B2" s="21"/>
      <c r="C2" s="67">
        <f>+'input CEE'!B1</f>
        <v>2022</v>
      </c>
      <c r="D2" s="76">
        <f>+'input CEE'!C1</f>
        <v>2023</v>
      </c>
      <c r="E2" s="68">
        <f>+'input CEE'!D1</f>
        <v>2024</v>
      </c>
      <c r="F2" s="21"/>
      <c r="G2" s="140" t="s">
        <v>28</v>
      </c>
      <c r="H2" s="141"/>
      <c r="I2" s="21"/>
      <c r="J2" s="33"/>
      <c r="K2" s="142" t="s">
        <v>342</v>
      </c>
      <c r="L2" s="142"/>
    </row>
    <row r="3" spans="1:12" s="24" customFormat="1" ht="12.75" x14ac:dyDescent="0.2">
      <c r="B3" s="15"/>
      <c r="C3" s="15"/>
      <c r="D3" s="15"/>
      <c r="E3" s="15"/>
      <c r="F3" s="15"/>
      <c r="G3" s="15" t="s">
        <v>111</v>
      </c>
      <c r="H3" s="15" t="s">
        <v>110</v>
      </c>
      <c r="I3" s="15"/>
      <c r="J3" s="27"/>
      <c r="K3" s="15"/>
    </row>
    <row r="4" spans="1:12" s="25" customFormat="1" ht="15" customHeight="1" x14ac:dyDescent="0.3">
      <c r="A4" s="25" t="s">
        <v>97</v>
      </c>
      <c r="B4" s="36"/>
      <c r="C4" s="36"/>
      <c r="D4" s="36"/>
      <c r="E4" s="36"/>
      <c r="F4" s="36"/>
      <c r="G4" s="36"/>
      <c r="H4" s="36"/>
      <c r="I4" s="36"/>
      <c r="J4" s="37"/>
      <c r="K4" s="103"/>
      <c r="L4" s="104"/>
    </row>
    <row r="5" spans="1:12" s="4" customFormat="1" x14ac:dyDescent="0.25">
      <c r="A5" s="4" t="s">
        <v>49</v>
      </c>
      <c r="B5" s="13"/>
      <c r="C5" s="13">
        <f>SUM(C6:C12)</f>
        <v>6523.0650000000005</v>
      </c>
      <c r="D5" s="13">
        <f>SUM(D6:D12)</f>
        <v>7534.1530000000002</v>
      </c>
      <c r="E5" s="13">
        <f>SUM(E6:E12)</f>
        <v>6144.9109999999991</v>
      </c>
      <c r="F5" s="13"/>
      <c r="G5" s="44">
        <f t="shared" ref="G5:G28" si="0">+E5-D5</f>
        <v>-1389.2420000000011</v>
      </c>
      <c r="H5" s="45">
        <f t="shared" ref="H5:H28" si="1">+IF(D5*E5&lt;=0,"N.S",IF(AND(D5*E5&gt;0,E5&lt;0),-(E5-D5)/D5,(E5-D5)/D5))</f>
        <v>-0.18439259197417426</v>
      </c>
      <c r="I5" s="13"/>
      <c r="J5" s="33"/>
      <c r="K5" s="39">
        <f>-G18-G5</f>
        <v>1385.2960000000012</v>
      </c>
      <c r="L5" t="str">
        <f>+'cash flow FGA'!B9</f>
        <v>(increase)/decrease receivables</v>
      </c>
    </row>
    <row r="6" spans="1:12" x14ac:dyDescent="0.25">
      <c r="A6" s="12" t="s">
        <v>50</v>
      </c>
      <c r="B6" s="8"/>
      <c r="C6" s="8">
        <f>+'input CEE'!B47/1000</f>
        <v>4863.67</v>
      </c>
      <c r="D6" s="8">
        <f>+'input CEE'!C47/1000</f>
        <v>3807.3780000000002</v>
      </c>
      <c r="E6" s="8">
        <f>+'input CEE'!D47/1000</f>
        <v>3808.8009999999999</v>
      </c>
      <c r="F6" s="8"/>
      <c r="G6" s="46">
        <f t="shared" si="0"/>
        <v>1.4229999999997744</v>
      </c>
      <c r="H6" s="47">
        <f t="shared" si="1"/>
        <v>3.7374802291754967E-4</v>
      </c>
      <c r="I6" s="8"/>
    </row>
    <row r="7" spans="1:12" x14ac:dyDescent="0.25">
      <c r="A7" s="12" t="s">
        <v>51</v>
      </c>
      <c r="B7" s="8"/>
      <c r="C7" s="8">
        <f>+'input CEE'!B48/1000</f>
        <v>0</v>
      </c>
      <c r="D7" s="8">
        <f>+'input CEE'!C48/1000</f>
        <v>0</v>
      </c>
      <c r="E7" s="8">
        <f>+'input CEE'!D48/1000</f>
        <v>0</v>
      </c>
      <c r="F7" s="8"/>
      <c r="G7" s="46">
        <f t="shared" si="0"/>
        <v>0</v>
      </c>
      <c r="H7" s="47" t="str">
        <f t="shared" si="1"/>
        <v>N.S</v>
      </c>
      <c r="I7" s="8"/>
    </row>
    <row r="8" spans="1:12" x14ac:dyDescent="0.25">
      <c r="A8" s="12" t="s">
        <v>52</v>
      </c>
      <c r="B8" s="8"/>
      <c r="C8" s="8">
        <f>('input CEE'!B49+'input CEE'!B55)/1000</f>
        <v>1327.663</v>
      </c>
      <c r="D8" s="8">
        <f>('input CEE'!C49+'input CEE'!C55)/1000</f>
        <v>2858.4850000000001</v>
      </c>
      <c r="E8" s="8">
        <f>('input CEE'!D49+'input CEE'!D55)/1000</f>
        <v>1996.009</v>
      </c>
      <c r="F8" s="8"/>
      <c r="G8" s="46">
        <f t="shared" si="0"/>
        <v>-862.47600000000011</v>
      </c>
      <c r="H8" s="47">
        <f t="shared" si="1"/>
        <v>-0.30172486474478616</v>
      </c>
      <c r="I8" s="8"/>
    </row>
    <row r="9" spans="1:12" x14ac:dyDescent="0.25">
      <c r="A9" s="12" t="s">
        <v>53</v>
      </c>
      <c r="B9" s="8"/>
      <c r="C9" s="8">
        <f>+'input CEE'!B63/1000</f>
        <v>7.5449999999999999</v>
      </c>
      <c r="D9" s="8">
        <f>+'input CEE'!C63/1000</f>
        <v>12.593999999999999</v>
      </c>
      <c r="E9" s="8">
        <f>+'input CEE'!D63/1000</f>
        <v>33.052999999999997</v>
      </c>
      <c r="F9" s="8"/>
      <c r="G9" s="46">
        <f t="shared" si="0"/>
        <v>20.458999999999996</v>
      </c>
      <c r="H9" s="47">
        <f t="shared" si="1"/>
        <v>1.6245037319358422</v>
      </c>
      <c r="I9" s="8"/>
      <c r="J9" s="35"/>
    </row>
    <row r="10" spans="1:12" x14ac:dyDescent="0.25">
      <c r="A10" s="12" t="s">
        <v>54</v>
      </c>
      <c r="B10" s="8"/>
      <c r="C10" s="8">
        <f>+'input CEE'!B64/1000</f>
        <v>0</v>
      </c>
      <c r="D10" s="8">
        <f>+'input CEE'!C64/1000</f>
        <v>0</v>
      </c>
      <c r="E10" s="8">
        <f>+'input CEE'!D64/1000</f>
        <v>0</v>
      </c>
      <c r="F10" s="8"/>
      <c r="G10" s="46">
        <f t="shared" si="0"/>
        <v>0</v>
      </c>
      <c r="H10" s="47" t="str">
        <f t="shared" si="1"/>
        <v>N.S</v>
      </c>
      <c r="I10" s="8"/>
    </row>
    <row r="11" spans="1:12" x14ac:dyDescent="0.25">
      <c r="A11" s="12" t="s">
        <v>55</v>
      </c>
      <c r="B11" s="8"/>
      <c r="C11" s="8">
        <f>('input CEE'!B57+'input CEE'!B60)/1000</f>
        <v>324.18700000000001</v>
      </c>
      <c r="D11" s="8">
        <f>('input CEE'!C57+'input CEE'!C60)/1000</f>
        <v>855.69600000000003</v>
      </c>
      <c r="E11" s="8">
        <f>('input CEE'!D57+'input CEE'!D60)/1000</f>
        <v>307.048</v>
      </c>
      <c r="F11" s="8"/>
      <c r="G11" s="46">
        <f t="shared" si="0"/>
        <v>-548.64800000000002</v>
      </c>
      <c r="H11" s="47">
        <f t="shared" si="1"/>
        <v>-0.64117163104653985</v>
      </c>
      <c r="I11" s="8"/>
    </row>
    <row r="12" spans="1:12" x14ac:dyDescent="0.25">
      <c r="A12" s="12" t="s">
        <v>56</v>
      </c>
      <c r="B12" s="8"/>
      <c r="C12" s="8">
        <f>('input CEE'!B58+'input CEE'!B61)/1000</f>
        <v>0</v>
      </c>
      <c r="D12" s="8">
        <f>('input CEE'!C58+'input CEE'!C61)/1000</f>
        <v>0</v>
      </c>
      <c r="E12" s="8">
        <f>('input CEE'!D58+'input CEE'!D61)/1000</f>
        <v>0</v>
      </c>
      <c r="F12" s="8"/>
      <c r="G12" s="46">
        <f t="shared" si="0"/>
        <v>0</v>
      </c>
      <c r="H12" s="47" t="str">
        <f t="shared" si="1"/>
        <v>N.S</v>
      </c>
      <c r="I12" s="8"/>
    </row>
    <row r="13" spans="1:12" s="4" customFormat="1" x14ac:dyDescent="0.25">
      <c r="A13" s="4" t="s">
        <v>48</v>
      </c>
      <c r="B13" s="13"/>
      <c r="C13" s="13">
        <f>SUM(C14:C17)</f>
        <v>1943.7080000000001</v>
      </c>
      <c r="D13" s="13">
        <f>SUM(D14:D17)</f>
        <v>4786.5150000000003</v>
      </c>
      <c r="E13" s="13">
        <f>SUM(E14:E17)</f>
        <v>2217.8389999999999</v>
      </c>
      <c r="F13" s="13"/>
      <c r="G13" s="44">
        <f t="shared" si="0"/>
        <v>-2568.6760000000004</v>
      </c>
      <c r="H13" s="45">
        <f t="shared" si="1"/>
        <v>-0.53664848015727518</v>
      </c>
      <c r="I13" s="13"/>
      <c r="J13" s="33"/>
      <c r="K13" s="8">
        <f>-G13</f>
        <v>2568.6760000000004</v>
      </c>
      <c r="L13" t="str">
        <f>+'cash flow FGA'!B10</f>
        <v>(increase)/decrease stock</v>
      </c>
    </row>
    <row r="14" spans="1:12" x14ac:dyDescent="0.25">
      <c r="A14" s="12" t="s">
        <v>297</v>
      </c>
      <c r="B14" s="8"/>
      <c r="C14" s="8">
        <f>+'input CEE'!B40/1000</f>
        <v>1943.7080000000001</v>
      </c>
      <c r="D14" s="8">
        <f>+'input CEE'!C40/1000</f>
        <v>4786.5150000000003</v>
      </c>
      <c r="E14" s="8">
        <f>+'input CEE'!D40/1000</f>
        <v>2217.8389999999999</v>
      </c>
      <c r="F14" s="8"/>
      <c r="G14" s="46">
        <f t="shared" si="0"/>
        <v>-2568.6760000000004</v>
      </c>
      <c r="H14" s="47">
        <f t="shared" si="1"/>
        <v>-0.53664848015727518</v>
      </c>
      <c r="I14" s="8"/>
    </row>
    <row r="15" spans="1:12" x14ac:dyDescent="0.25">
      <c r="A15" s="12" t="s">
        <v>57</v>
      </c>
      <c r="B15" s="8"/>
      <c r="C15" s="8">
        <f>+'input CEE'!B41/1000</f>
        <v>0</v>
      </c>
      <c r="D15" s="8">
        <f>+'input CEE'!C41/1000</f>
        <v>0</v>
      </c>
      <c r="E15" s="8">
        <f>+'input CEE'!D41/1000</f>
        <v>0</v>
      </c>
      <c r="F15" s="8"/>
      <c r="G15" s="46">
        <f t="shared" si="0"/>
        <v>0</v>
      </c>
      <c r="H15" s="47" t="str">
        <f t="shared" si="1"/>
        <v>N.S</v>
      </c>
      <c r="I15" s="8"/>
    </row>
    <row r="16" spans="1:12" x14ac:dyDescent="0.25">
      <c r="A16" s="12" t="s">
        <v>298</v>
      </c>
      <c r="B16" s="8"/>
      <c r="C16" s="8">
        <f>('input CEE'!B42+'input CEE'!B44)/1000</f>
        <v>0</v>
      </c>
      <c r="D16" s="8">
        <f>('input CEE'!C42+'input CEE'!C44)/1000</f>
        <v>0</v>
      </c>
      <c r="E16" s="8">
        <f>('input CEE'!D42+'input CEE'!D44)/1000</f>
        <v>0</v>
      </c>
      <c r="F16" s="8"/>
      <c r="G16" s="46">
        <f t="shared" si="0"/>
        <v>0</v>
      </c>
      <c r="H16" s="47" t="str">
        <f t="shared" si="1"/>
        <v>N.S</v>
      </c>
      <c r="I16" s="8"/>
      <c r="J16" s="35"/>
    </row>
    <row r="17" spans="1:12" x14ac:dyDescent="0.25">
      <c r="A17" s="12" t="s">
        <v>299</v>
      </c>
      <c r="B17" s="8"/>
      <c r="C17" s="8">
        <f>+'input CEE'!B43/1000</f>
        <v>0</v>
      </c>
      <c r="D17" s="8">
        <f>+'input CEE'!C43/1000</f>
        <v>0</v>
      </c>
      <c r="E17" s="8">
        <f>+'input CEE'!D43/1000</f>
        <v>0</v>
      </c>
      <c r="F17" s="8"/>
      <c r="G17" s="46">
        <f t="shared" si="0"/>
        <v>0</v>
      </c>
      <c r="H17" s="47" t="str">
        <f t="shared" si="1"/>
        <v>N.S</v>
      </c>
      <c r="I17" s="8"/>
      <c r="J17" s="35"/>
    </row>
    <row r="18" spans="1:12" s="4" customFormat="1" x14ac:dyDescent="0.25">
      <c r="A18" s="4" t="s">
        <v>47</v>
      </c>
      <c r="B18" s="13"/>
      <c r="C18" s="13">
        <f>+'input CEE'!B79/1000</f>
        <v>28.021000000000001</v>
      </c>
      <c r="D18" s="13">
        <f>+'input CEE'!C79/1000</f>
        <v>23.19</v>
      </c>
      <c r="E18" s="13">
        <f>+'input CEE'!D79/1000</f>
        <v>27.135999999999999</v>
      </c>
      <c r="F18" s="13"/>
      <c r="G18" s="44">
        <f t="shared" si="0"/>
        <v>3.945999999999998</v>
      </c>
      <c r="H18" s="45">
        <f t="shared" si="1"/>
        <v>0.17015955153083215</v>
      </c>
      <c r="I18" s="13"/>
    </row>
    <row r="19" spans="1:12" s="4" customFormat="1" x14ac:dyDescent="0.25">
      <c r="A19" s="4" t="s">
        <v>46</v>
      </c>
      <c r="B19" s="13"/>
      <c r="C19" s="13">
        <f>SUM(C20:C26)</f>
        <v>-7450.4449999999997</v>
      </c>
      <c r="D19" s="13">
        <f>SUM(D20:D26)</f>
        <v>-10448.799000000001</v>
      </c>
      <c r="E19" s="13">
        <f>SUM(E20:E26)</f>
        <v>-6457.2380000000003</v>
      </c>
      <c r="F19" s="13"/>
      <c r="G19" s="44">
        <f t="shared" si="0"/>
        <v>3991.5610000000006</v>
      </c>
      <c r="H19" s="45">
        <f t="shared" si="1"/>
        <v>0.3820114637098484</v>
      </c>
      <c r="I19" s="13"/>
      <c r="J19" s="33"/>
      <c r="K19" s="39">
        <f>-G27-G19</f>
        <v>-4013.2670000000007</v>
      </c>
      <c r="L19" t="str">
        <f>+'cash flow FGA'!B11</f>
        <v>increase/(decrease) payables</v>
      </c>
    </row>
    <row r="20" spans="1:12" x14ac:dyDescent="0.25">
      <c r="A20" s="12" t="s">
        <v>300</v>
      </c>
      <c r="B20" s="8"/>
      <c r="C20" s="8">
        <f>-'input CEE'!G52/1000</f>
        <v>-947.19500000000005</v>
      </c>
      <c r="D20" s="8">
        <f>-'input CEE'!H52/1000</f>
        <v>-1032.2439999999999</v>
      </c>
      <c r="E20" s="8">
        <f>-'input CEE'!I52/1000</f>
        <v>-972.09799999999996</v>
      </c>
      <c r="F20" s="8"/>
      <c r="G20" s="46">
        <f t="shared" si="0"/>
        <v>60.145999999999958</v>
      </c>
      <c r="H20" s="47">
        <f t="shared" si="1"/>
        <v>5.8267231391027664E-2</v>
      </c>
      <c r="I20" s="8"/>
      <c r="K20" s="8"/>
    </row>
    <row r="21" spans="1:12" x14ac:dyDescent="0.25">
      <c r="A21" s="12" t="s">
        <v>301</v>
      </c>
      <c r="B21" s="8"/>
      <c r="C21" s="8">
        <f>-'input CEE'!G53/1000</f>
        <v>0</v>
      </c>
      <c r="D21" s="8">
        <f>-'input CEE'!H53/1000</f>
        <v>0</v>
      </c>
      <c r="E21" s="8">
        <f>-'input CEE'!I53/1000</f>
        <v>0</v>
      </c>
      <c r="F21" s="8"/>
      <c r="G21" s="46">
        <f t="shared" si="0"/>
        <v>0</v>
      </c>
      <c r="H21" s="47" t="str">
        <f t="shared" si="1"/>
        <v>N.S</v>
      </c>
      <c r="I21" s="8"/>
    </row>
    <row r="22" spans="1:12" x14ac:dyDescent="0.25">
      <c r="A22" s="12" t="s">
        <v>58</v>
      </c>
      <c r="B22" s="8"/>
      <c r="C22" s="8">
        <f>-'input CEE'!G57/1000</f>
        <v>-4193.2849999999999</v>
      </c>
      <c r="D22" s="8">
        <f>-'input CEE'!H57/1000</f>
        <v>-8306.6990000000005</v>
      </c>
      <c r="E22" s="8">
        <f>-'input CEE'!I57/1000</f>
        <v>-4233.1589999999997</v>
      </c>
      <c r="F22" s="8"/>
      <c r="G22" s="46">
        <f t="shared" si="0"/>
        <v>4073.5400000000009</v>
      </c>
      <c r="H22" s="47">
        <f t="shared" si="1"/>
        <v>0.4903921521653789</v>
      </c>
      <c r="I22" s="8"/>
    </row>
    <row r="23" spans="1:12" x14ac:dyDescent="0.25">
      <c r="A23" s="12" t="s">
        <v>59</v>
      </c>
      <c r="B23" s="8"/>
      <c r="C23" s="8">
        <f>-'input CEE'!G48/1000</f>
        <v>-1676.35</v>
      </c>
      <c r="D23" s="8">
        <f>-'input CEE'!H48/1000</f>
        <v>-487.31799999999998</v>
      </c>
      <c r="E23" s="8">
        <f>-'input CEE'!I48/1000</f>
        <v>-488.54700000000003</v>
      </c>
      <c r="F23" s="8"/>
      <c r="G23" s="46">
        <f t="shared" si="0"/>
        <v>-1.2290000000000418</v>
      </c>
      <c r="H23" s="47">
        <f t="shared" si="1"/>
        <v>-2.5219671754378903E-3</v>
      </c>
      <c r="I23" s="8"/>
    </row>
    <row r="24" spans="1:12" x14ac:dyDescent="0.25">
      <c r="A24" s="12" t="s">
        <v>60</v>
      </c>
      <c r="B24" s="8"/>
      <c r="C24" s="8">
        <f>-('input CEE'!G66+'input CEE'!G69)/1000</f>
        <v>-542.42899999999997</v>
      </c>
      <c r="D24" s="8">
        <f>-('input CEE'!H66+'input CEE'!H69)/1000</f>
        <v>-527.57000000000005</v>
      </c>
      <c r="E24" s="8">
        <f>-('input CEE'!I66+'input CEE'!I69)/1000</f>
        <v>-499.93900000000002</v>
      </c>
      <c r="F24" s="8"/>
      <c r="G24" s="46">
        <f t="shared" si="0"/>
        <v>27.631000000000029</v>
      </c>
      <c r="H24" s="47">
        <f t="shared" si="1"/>
        <v>5.2374092537483229E-2</v>
      </c>
      <c r="I24" s="8"/>
    </row>
    <row r="25" spans="1:12" x14ac:dyDescent="0.25">
      <c r="A25" s="12" t="s">
        <v>61</v>
      </c>
      <c r="B25" s="8"/>
      <c r="C25" s="8">
        <f>-('input CEE'!G64)/1000</f>
        <v>-91.186000000000007</v>
      </c>
      <c r="D25" s="8">
        <f>-('input CEE'!H64)/1000</f>
        <v>-94.968000000000004</v>
      </c>
      <c r="E25" s="8">
        <f>-('input CEE'!I64)/1000</f>
        <v>-263.495</v>
      </c>
      <c r="F25" s="8"/>
      <c r="G25" s="46">
        <f t="shared" si="0"/>
        <v>-168.52699999999999</v>
      </c>
      <c r="H25" s="47">
        <f t="shared" si="1"/>
        <v>-1.7745661696571475</v>
      </c>
      <c r="I25" s="8"/>
    </row>
    <row r="26" spans="1:12" x14ac:dyDescent="0.25">
      <c r="A26" s="12" t="s">
        <v>62</v>
      </c>
      <c r="B26" s="8"/>
      <c r="C26" s="8">
        <f>-('input CEE'!G65)/1000</f>
        <v>0</v>
      </c>
      <c r="D26" s="8">
        <f>-('input CEE'!H65)/1000</f>
        <v>0</v>
      </c>
      <c r="E26" s="8">
        <f>-('input CEE'!I65)/1000</f>
        <v>0</v>
      </c>
      <c r="F26" s="8"/>
      <c r="G26" s="46">
        <f t="shared" si="0"/>
        <v>0</v>
      </c>
      <c r="H26" s="47" t="str">
        <f t="shared" si="1"/>
        <v>N.S</v>
      </c>
      <c r="I26" s="8"/>
    </row>
    <row r="27" spans="1:12" s="4" customFormat="1" x14ac:dyDescent="0.25">
      <c r="A27" s="4" t="s">
        <v>45</v>
      </c>
      <c r="B27" s="13"/>
      <c r="C27" s="13">
        <f>-'input CEE'!G74/1000</f>
        <v>-71.459000000000003</v>
      </c>
      <c r="D27" s="13">
        <f>-'input CEE'!H74/1000</f>
        <v>-42.554000000000002</v>
      </c>
      <c r="E27" s="13">
        <f>-'input CEE'!I74/1000</f>
        <v>-20.847999999999999</v>
      </c>
      <c r="F27" s="13"/>
      <c r="G27" s="44">
        <f t="shared" si="0"/>
        <v>21.706000000000003</v>
      </c>
      <c r="H27" s="45">
        <f t="shared" si="1"/>
        <v>0.51008130845513944</v>
      </c>
      <c r="I27" s="13"/>
    </row>
    <row r="28" spans="1:12" s="4" customFormat="1" x14ac:dyDescent="0.25">
      <c r="A28" s="4" t="s">
        <v>44</v>
      </c>
      <c r="B28" s="13"/>
      <c r="C28" s="13">
        <f>-'input CEE'!G26/1000</f>
        <v>-5.157</v>
      </c>
      <c r="D28" s="13">
        <f>-'input CEE'!H26/1000</f>
        <v>-144.821</v>
      </c>
      <c r="E28" s="13">
        <f>-'input CEE'!I26/1000</f>
        <v>-187.66200000000001</v>
      </c>
      <c r="F28" s="13"/>
      <c r="G28" s="44">
        <f t="shared" si="0"/>
        <v>-42.841000000000008</v>
      </c>
      <c r="H28" s="45">
        <f t="shared" si="1"/>
        <v>-0.29582035754483127</v>
      </c>
      <c r="I28" s="13"/>
      <c r="J28" s="27"/>
      <c r="K28" s="39">
        <f>-G47-G28</f>
        <v>42.841000000000008</v>
      </c>
      <c r="L28" t="str">
        <f>+'cash flow FGA'!B6</f>
        <v>provisions</v>
      </c>
    </row>
    <row r="29" spans="1:12" s="4" customFormat="1" x14ac:dyDescent="0.25">
      <c r="A29" s="10" t="s">
        <v>43</v>
      </c>
      <c r="B29" s="13"/>
      <c r="C29" s="9">
        <f>+C5+C13+C18+C19+C27+C28</f>
        <v>967.73300000000188</v>
      </c>
      <c r="D29" s="9">
        <f>+D5+D13+D18+D19+D27+D28</f>
        <v>1707.6840000000011</v>
      </c>
      <c r="E29" s="9">
        <f>+E5+E13+E18+E19+E27+E28</f>
        <v>1724.1380000000001</v>
      </c>
      <c r="F29" s="13"/>
      <c r="G29" s="48">
        <f t="shared" ref="G29:G54" si="2">+E29-D29</f>
        <v>16.453999999999041</v>
      </c>
      <c r="H29" s="49">
        <f t="shared" ref="H29:H54" si="3">+IF(D29*E29&lt;=0,"N.S",IF(AND(D29*E29&gt;0,E29&lt;0),-(E29-D29)/D29,(E29-D29)/D29))</f>
        <v>9.6352720995213584E-3</v>
      </c>
      <c r="I29" s="13"/>
      <c r="J29" s="33"/>
      <c r="K29" s="2"/>
      <c r="L29"/>
    </row>
    <row r="30" spans="1:12" s="4" customFormat="1" x14ac:dyDescent="0.25">
      <c r="A30" s="4" t="s">
        <v>42</v>
      </c>
      <c r="B30" s="13"/>
      <c r="C30" s="13">
        <f>SUM(C31:C35)</f>
        <v>12.301</v>
      </c>
      <c r="D30" s="13">
        <f t="shared" ref="D30" si="4">SUM(D31:D35)</f>
        <v>6.5650000000000004</v>
      </c>
      <c r="E30" s="13">
        <f t="shared" ref="E30" si="5">SUM(E31:E35)</f>
        <v>0.48</v>
      </c>
      <c r="F30" s="13"/>
      <c r="G30" s="44">
        <f t="shared" si="2"/>
        <v>-6.0850000000000009</v>
      </c>
      <c r="H30" s="45">
        <f t="shared" si="3"/>
        <v>-0.92688499619192699</v>
      </c>
      <c r="I30" s="13"/>
      <c r="J30" s="33"/>
      <c r="K30" s="2"/>
      <c r="L30"/>
    </row>
    <row r="31" spans="1:12" x14ac:dyDescent="0.25">
      <c r="A31" s="12" t="s">
        <v>63</v>
      </c>
      <c r="B31" s="8"/>
      <c r="C31" s="8">
        <f>+'input CEE'!B9/1000</f>
        <v>0</v>
      </c>
      <c r="D31" s="8">
        <f>+'input CEE'!C9/1000</f>
        <v>0</v>
      </c>
      <c r="E31" s="8">
        <f>+'input CEE'!D9/1000</f>
        <v>0</v>
      </c>
      <c r="F31" s="8"/>
      <c r="G31" s="46">
        <f t="shared" si="2"/>
        <v>0</v>
      </c>
      <c r="H31" s="47" t="str">
        <f t="shared" si="3"/>
        <v>N.S</v>
      </c>
      <c r="I31" s="8"/>
    </row>
    <row r="32" spans="1:12" x14ac:dyDescent="0.25">
      <c r="A32" s="12" t="s">
        <v>384</v>
      </c>
      <c r="B32" s="8"/>
      <c r="C32" s="8">
        <f>+'input CEE'!B10/1000</f>
        <v>0</v>
      </c>
      <c r="D32" s="8">
        <f>+'input CEE'!C10/1000</f>
        <v>0</v>
      </c>
      <c r="E32" s="8">
        <f>+'input CEE'!D10/1000</f>
        <v>0</v>
      </c>
      <c r="F32" s="8"/>
      <c r="G32" s="46">
        <f t="shared" si="2"/>
        <v>0</v>
      </c>
      <c r="H32" s="47" t="str">
        <f t="shared" si="3"/>
        <v>N.S</v>
      </c>
      <c r="I32" s="8"/>
    </row>
    <row r="33" spans="1:12" x14ac:dyDescent="0.25">
      <c r="A33" s="12" t="s">
        <v>64</v>
      </c>
      <c r="B33" s="8"/>
      <c r="C33" s="8">
        <f>+'input CEE'!B11/1000</f>
        <v>0</v>
      </c>
      <c r="D33" s="8">
        <f>+'input CEE'!C11/1000</f>
        <v>0</v>
      </c>
      <c r="E33" s="8">
        <f>+'input CEE'!D11/1000</f>
        <v>0</v>
      </c>
      <c r="F33" s="8"/>
      <c r="G33" s="46">
        <f t="shared" si="2"/>
        <v>0</v>
      </c>
      <c r="H33" s="47" t="str">
        <f t="shared" si="3"/>
        <v>N.S</v>
      </c>
      <c r="I33" s="8"/>
    </row>
    <row r="34" spans="1:12" x14ac:dyDescent="0.25">
      <c r="A34" s="12" t="s">
        <v>65</v>
      </c>
      <c r="B34" s="8"/>
      <c r="C34" s="8">
        <f>+'input CEE'!B13/1000</f>
        <v>0</v>
      </c>
      <c r="D34" s="8">
        <f>+'input CEE'!C13/1000</f>
        <v>0</v>
      </c>
      <c r="E34" s="8">
        <f>+'input CEE'!D13/1000</f>
        <v>0</v>
      </c>
      <c r="F34" s="8"/>
      <c r="G34" s="46">
        <f t="shared" si="2"/>
        <v>0</v>
      </c>
      <c r="H34" s="47" t="str">
        <f t="shared" si="3"/>
        <v>N.S</v>
      </c>
      <c r="I34" s="8"/>
    </row>
    <row r="35" spans="1:12" x14ac:dyDescent="0.25">
      <c r="A35" s="12" t="s">
        <v>66</v>
      </c>
      <c r="B35" s="8"/>
      <c r="C35" s="8">
        <f>('input CEE'!B12+'input CEE'!B14+'input CEE'!B15)/1000</f>
        <v>12.301</v>
      </c>
      <c r="D35" s="8">
        <f>('input CEE'!C12+'input CEE'!C14+'input CEE'!C15)/1000</f>
        <v>6.5650000000000004</v>
      </c>
      <c r="E35" s="8">
        <f>('input CEE'!D12+'input CEE'!D14+'input CEE'!D15)/1000</f>
        <v>0.48</v>
      </c>
      <c r="F35" s="8"/>
      <c r="G35" s="46">
        <f t="shared" si="2"/>
        <v>-6.0850000000000009</v>
      </c>
      <c r="H35" s="47">
        <f t="shared" si="3"/>
        <v>-0.92688499619192699</v>
      </c>
      <c r="I35" s="8"/>
    </row>
    <row r="36" spans="1:12" s="4" customFormat="1" x14ac:dyDescent="0.25">
      <c r="A36" s="4" t="s">
        <v>41</v>
      </c>
      <c r="B36" s="13"/>
      <c r="C36" s="13">
        <f>SUM(C37:C41)</f>
        <v>1708.4390000000001</v>
      </c>
      <c r="D36" s="13">
        <f>SUM(D37:D41)</f>
        <v>1993.1389999999999</v>
      </c>
      <c r="E36" s="13">
        <f>SUM(E37:E41)</f>
        <v>2551.4019999999996</v>
      </c>
      <c r="F36" s="13"/>
      <c r="G36" s="44">
        <f t="shared" si="2"/>
        <v>558.26299999999969</v>
      </c>
      <c r="H36" s="45">
        <f t="shared" si="3"/>
        <v>0.28009235683010553</v>
      </c>
      <c r="I36" s="13"/>
      <c r="J36" s="33"/>
      <c r="K36" s="2"/>
      <c r="L36"/>
    </row>
    <row r="37" spans="1:12" x14ac:dyDescent="0.25">
      <c r="A37" s="12" t="s">
        <v>67</v>
      </c>
      <c r="B37" s="8"/>
      <c r="C37" s="8">
        <f>+'input CEE'!B17/1000</f>
        <v>0</v>
      </c>
      <c r="D37" s="8">
        <f>+'input CEE'!C17/1000</f>
        <v>0</v>
      </c>
      <c r="E37" s="8">
        <f>+'input CEE'!D17/1000</f>
        <v>0</v>
      </c>
      <c r="F37" s="8"/>
      <c r="G37" s="46">
        <f t="shared" si="2"/>
        <v>0</v>
      </c>
      <c r="H37" s="47" t="str">
        <f t="shared" si="3"/>
        <v>N.S</v>
      </c>
      <c r="I37" s="8"/>
    </row>
    <row r="38" spans="1:12" x14ac:dyDescent="0.25">
      <c r="A38" s="12" t="s">
        <v>68</v>
      </c>
      <c r="B38" s="8"/>
      <c r="C38" s="8">
        <f>+'input CEE'!B18/1000</f>
        <v>0</v>
      </c>
      <c r="D38" s="8">
        <f>+'input CEE'!C18/1000</f>
        <v>0</v>
      </c>
      <c r="E38" s="8">
        <f>+'input CEE'!D18/1000</f>
        <v>0</v>
      </c>
      <c r="F38" s="8"/>
      <c r="G38" s="46">
        <f t="shared" si="2"/>
        <v>0</v>
      </c>
      <c r="H38" s="47" t="str">
        <f t="shared" si="3"/>
        <v>N.S</v>
      </c>
      <c r="I38" s="8"/>
    </row>
    <row r="39" spans="1:12" x14ac:dyDescent="0.25">
      <c r="A39" s="12" t="s">
        <v>69</v>
      </c>
      <c r="B39" s="8"/>
      <c r="C39" s="8">
        <f>+'input CEE'!B19/1000</f>
        <v>15.477</v>
      </c>
      <c r="D39" s="8">
        <f>+'input CEE'!C19/1000</f>
        <v>19.754000000000001</v>
      </c>
      <c r="E39" s="8">
        <f>+'input CEE'!D19/1000</f>
        <v>7.3070000000000004</v>
      </c>
      <c r="F39" s="8"/>
      <c r="G39" s="46">
        <f t="shared" si="2"/>
        <v>-12.447000000000001</v>
      </c>
      <c r="H39" s="47">
        <f t="shared" si="3"/>
        <v>-0.63010023286423</v>
      </c>
      <c r="I39" s="8"/>
    </row>
    <row r="40" spans="1:12" x14ac:dyDescent="0.25">
      <c r="A40" s="12" t="s">
        <v>70</v>
      </c>
      <c r="B40" s="8"/>
      <c r="C40" s="8">
        <f>+'input CEE'!B21/1000</f>
        <v>0</v>
      </c>
      <c r="D40" s="8">
        <f>+'input CEE'!C21/1000</f>
        <v>0</v>
      </c>
      <c r="E40" s="8">
        <f>+'input CEE'!D21/1000</f>
        <v>0</v>
      </c>
      <c r="F40" s="8"/>
      <c r="G40" s="46">
        <f t="shared" si="2"/>
        <v>0</v>
      </c>
      <c r="H40" s="47" t="str">
        <f t="shared" si="3"/>
        <v>N.S</v>
      </c>
      <c r="I40" s="8"/>
    </row>
    <row r="41" spans="1:12" x14ac:dyDescent="0.25">
      <c r="A41" s="12" t="s">
        <v>71</v>
      </c>
      <c r="B41" s="8"/>
      <c r="C41" s="8">
        <f>+'input CEE'!B20/1000</f>
        <v>1692.962</v>
      </c>
      <c r="D41" s="8">
        <f>+'input CEE'!C20/1000</f>
        <v>1973.385</v>
      </c>
      <c r="E41" s="8">
        <f>+'input CEE'!D20/1000</f>
        <v>2544.0949999999998</v>
      </c>
      <c r="F41" s="8"/>
      <c r="G41" s="46">
        <f t="shared" si="2"/>
        <v>570.70999999999981</v>
      </c>
      <c r="H41" s="47">
        <f t="shared" si="3"/>
        <v>0.28920357659554513</v>
      </c>
      <c r="I41" s="8"/>
    </row>
    <row r="42" spans="1:12" s="4" customFormat="1" x14ac:dyDescent="0.25">
      <c r="A42" s="4" t="s">
        <v>40</v>
      </c>
      <c r="B42" s="13"/>
      <c r="C42" s="13">
        <f t="shared" ref="C42:D42" si="6">SUM(C43:C45)</f>
        <v>40.950000000000003</v>
      </c>
      <c r="D42" s="13">
        <f t="shared" si="6"/>
        <v>40.950000000000003</v>
      </c>
      <c r="E42" s="13">
        <f t="shared" ref="E42" si="7">SUM(E43:E45)</f>
        <v>60</v>
      </c>
      <c r="F42" s="13"/>
      <c r="G42" s="44">
        <f t="shared" si="2"/>
        <v>19.049999999999997</v>
      </c>
      <c r="H42" s="45">
        <f t="shared" si="3"/>
        <v>0.4652014652014651</v>
      </c>
      <c r="I42" s="13"/>
      <c r="J42" s="33"/>
      <c r="K42" s="2"/>
      <c r="L42"/>
    </row>
    <row r="43" spans="1:12" x14ac:dyDescent="0.25">
      <c r="A43" s="12" t="s">
        <v>72</v>
      </c>
      <c r="B43" s="8"/>
      <c r="C43" s="8">
        <f>'input CEE'!B23/1000</f>
        <v>0</v>
      </c>
      <c r="D43" s="8">
        <f>'input CEE'!C23/1000</f>
        <v>40.950000000000003</v>
      </c>
      <c r="E43" s="8">
        <f>'input CEE'!D23/1000</f>
        <v>0</v>
      </c>
      <c r="F43" s="8"/>
      <c r="G43" s="46">
        <f t="shared" si="2"/>
        <v>-40.950000000000003</v>
      </c>
      <c r="H43" s="47" t="str">
        <f t="shared" si="3"/>
        <v>N.S</v>
      </c>
      <c r="I43" s="8"/>
    </row>
    <row r="44" spans="1:12" x14ac:dyDescent="0.25">
      <c r="A44" s="12" t="s">
        <v>73</v>
      </c>
      <c r="B44" s="8"/>
      <c r="C44" s="8">
        <f>('input CEE'!B29 +'input CEE'!B3)/1000</f>
        <v>40.950000000000003</v>
      </c>
      <c r="D44" s="8">
        <f>('input CEE'!C29 +'input CEE'!C3)/1000</f>
        <v>0</v>
      </c>
      <c r="E44" s="8">
        <f>('input CEE'!D29 +'input CEE'!D3)/1000</f>
        <v>60</v>
      </c>
      <c r="F44" s="8"/>
      <c r="G44" s="46">
        <f t="shared" si="2"/>
        <v>60</v>
      </c>
      <c r="H44" s="47" t="str">
        <f t="shared" si="3"/>
        <v>N.S</v>
      </c>
      <c r="I44" s="8"/>
    </row>
    <row r="45" spans="1:12" x14ac:dyDescent="0.25">
      <c r="A45" s="12" t="s">
        <v>74</v>
      </c>
      <c r="B45" s="8"/>
      <c r="C45" s="8">
        <f>('input CEE'!B35+'input CEE'!B36)/1000</f>
        <v>0</v>
      </c>
      <c r="D45" s="8">
        <f>('input CEE'!C35+'input CEE'!C36)/1000</f>
        <v>0</v>
      </c>
      <c r="E45" s="8">
        <f>('input CEE'!D35+'input CEE'!D36)/1000</f>
        <v>0</v>
      </c>
      <c r="F45" s="8"/>
      <c r="G45" s="46">
        <f t="shared" si="2"/>
        <v>0</v>
      </c>
      <c r="H45" s="47" t="str">
        <f t="shared" si="3"/>
        <v>N.S</v>
      </c>
      <c r="I45" s="8"/>
    </row>
    <row r="46" spans="1:12" s="4" customFormat="1" x14ac:dyDescent="0.25">
      <c r="A46" s="10" t="s">
        <v>39</v>
      </c>
      <c r="B46" s="13"/>
      <c r="C46" s="9">
        <f>+C30+C36+C42</f>
        <v>1761.69</v>
      </c>
      <c r="D46" s="9">
        <f>+D30+D36+D42</f>
        <v>2040.654</v>
      </c>
      <c r="E46" s="9">
        <f>+E30+E36+E42</f>
        <v>2611.8819999999996</v>
      </c>
      <c r="F46" s="13"/>
      <c r="G46" s="48">
        <f t="shared" si="2"/>
        <v>571.22799999999961</v>
      </c>
      <c r="H46" s="49">
        <f t="shared" si="3"/>
        <v>0.27992398515377892</v>
      </c>
      <c r="I46" s="13"/>
      <c r="J46" s="33"/>
      <c r="K46" s="8">
        <f>-G46+E94+E95</f>
        <v>-1339.9609999999998</v>
      </c>
      <c r="L46" t="str">
        <f>+'cash flow FGA'!B14</f>
        <v>(increase)/decrease fixed assets</v>
      </c>
    </row>
    <row r="47" spans="1:12" s="4" customFormat="1" x14ac:dyDescent="0.25">
      <c r="A47" s="4" t="s">
        <v>38</v>
      </c>
      <c r="B47" s="13"/>
      <c r="C47" s="13">
        <f>-'input CEE'!G32/1000</f>
        <v>0</v>
      </c>
      <c r="D47" s="13">
        <f>-'input CEE'!H32/1000</f>
        <v>0</v>
      </c>
      <c r="E47" s="13">
        <f>-'input CEE'!I32/1000</f>
        <v>0</v>
      </c>
      <c r="F47" s="13"/>
      <c r="G47" s="44">
        <f t="shared" si="2"/>
        <v>0</v>
      </c>
      <c r="H47" s="45" t="str">
        <f t="shared" si="3"/>
        <v>N.S</v>
      </c>
      <c r="I47" s="13"/>
    </row>
    <row r="48" spans="1:12" s="4" customFormat="1" x14ac:dyDescent="0.25">
      <c r="A48" s="10" t="s">
        <v>37</v>
      </c>
      <c r="B48" s="13"/>
      <c r="C48" s="9">
        <f>+C29+C46+C47</f>
        <v>2729.423000000002</v>
      </c>
      <c r="D48" s="9">
        <f>+D29+D46+D47</f>
        <v>3748.3380000000011</v>
      </c>
      <c r="E48" s="9">
        <f>+E29+E46+E47</f>
        <v>4336.0199999999995</v>
      </c>
      <c r="F48" s="13"/>
      <c r="G48" s="48">
        <f t="shared" si="2"/>
        <v>587.68199999999842</v>
      </c>
      <c r="H48" s="49">
        <f t="shared" si="3"/>
        <v>0.15678468697326609</v>
      </c>
      <c r="I48" s="13"/>
      <c r="J48" s="33"/>
      <c r="K48" s="2"/>
      <c r="L48"/>
    </row>
    <row r="49" spans="1:17" s="4" customFormat="1" x14ac:dyDescent="0.25">
      <c r="A49" s="4" t="s">
        <v>36</v>
      </c>
      <c r="B49" s="13"/>
      <c r="C49" s="13">
        <f>SUM(C50:C52)</f>
        <v>1000</v>
      </c>
      <c r="D49" s="13">
        <f>SUM(D50:D52)</f>
        <v>1000</v>
      </c>
      <c r="E49" s="13">
        <f>SUM(E50:E52)</f>
        <v>1000</v>
      </c>
      <c r="F49" s="13"/>
      <c r="G49" s="44">
        <f t="shared" si="2"/>
        <v>0</v>
      </c>
      <c r="H49" s="45">
        <f t="shared" si="3"/>
        <v>0</v>
      </c>
      <c r="I49" s="13"/>
      <c r="J49" s="33"/>
      <c r="K49" s="2"/>
      <c r="L49"/>
    </row>
    <row r="50" spans="1:17" x14ac:dyDescent="0.25">
      <c r="A50" s="12" t="s">
        <v>75</v>
      </c>
      <c r="B50" s="8"/>
      <c r="C50" s="8">
        <f>+'input CEE'!G5/1000</f>
        <v>1000</v>
      </c>
      <c r="D50" s="8">
        <f>+'input CEE'!H5/1000</f>
        <v>1000</v>
      </c>
      <c r="E50" s="8">
        <f>+'input CEE'!I5/1000</f>
        <v>1000</v>
      </c>
      <c r="F50" s="8"/>
      <c r="G50" s="46">
        <f t="shared" si="2"/>
        <v>0</v>
      </c>
      <c r="H50" s="47">
        <f t="shared" si="3"/>
        <v>0</v>
      </c>
      <c r="I50" s="8"/>
    </row>
    <row r="51" spans="1:17" x14ac:dyDescent="0.25">
      <c r="A51" s="12" t="s">
        <v>76</v>
      </c>
      <c r="B51" s="8"/>
      <c r="C51" s="8">
        <f>+'input CEE'!G12/1000</f>
        <v>0</v>
      </c>
      <c r="D51" s="8">
        <f>+'input CEE'!H12/1000</f>
        <v>0</v>
      </c>
      <c r="E51" s="8">
        <f>+'input CEE'!I12/1000</f>
        <v>0</v>
      </c>
      <c r="F51" s="8"/>
      <c r="G51" s="46">
        <f t="shared" si="2"/>
        <v>0</v>
      </c>
      <c r="H51" s="47" t="str">
        <f t="shared" si="3"/>
        <v>N.S</v>
      </c>
      <c r="I51" s="8"/>
    </row>
    <row r="52" spans="1:17" x14ac:dyDescent="0.25">
      <c r="A52" s="12" t="s">
        <v>77</v>
      </c>
      <c r="B52" s="8"/>
      <c r="C52" s="8">
        <f>'input CEE'!G23/1000</f>
        <v>0</v>
      </c>
      <c r="D52" s="8">
        <f>'input CEE'!H23/1000</f>
        <v>0</v>
      </c>
      <c r="E52" s="8">
        <f>'input CEE'!I23/1000</f>
        <v>0</v>
      </c>
      <c r="F52" s="8"/>
      <c r="G52" s="46">
        <f t="shared" si="2"/>
        <v>0</v>
      </c>
      <c r="H52" s="47" t="str">
        <f t="shared" si="3"/>
        <v>N.S</v>
      </c>
      <c r="I52" s="8"/>
    </row>
    <row r="53" spans="1:17" s="4" customFormat="1" x14ac:dyDescent="0.25">
      <c r="A53" s="4" t="s">
        <v>35</v>
      </c>
      <c r="B53" s="13"/>
      <c r="C53" s="13">
        <f>SUM(C54:C59)</f>
        <v>94.073999999999998</v>
      </c>
      <c r="D53" s="13">
        <f t="shared" ref="D53:E53" si="8">SUM(D54:D59)</f>
        <v>121.997</v>
      </c>
      <c r="E53" s="13">
        <f t="shared" si="8"/>
        <v>172.62299999999999</v>
      </c>
      <c r="F53" s="13"/>
      <c r="G53" s="44">
        <f t="shared" si="2"/>
        <v>50.625999999999991</v>
      </c>
      <c r="H53" s="45">
        <f t="shared" si="3"/>
        <v>0.4149774174774789</v>
      </c>
      <c r="I53" s="13"/>
      <c r="J53" s="33"/>
      <c r="K53" s="2"/>
      <c r="L53"/>
    </row>
    <row r="54" spans="1:17" x14ac:dyDescent="0.25">
      <c r="A54" s="12" t="s">
        <v>78</v>
      </c>
      <c r="B54" s="8"/>
      <c r="C54" s="8">
        <f>+'input CEE'!G8/1000</f>
        <v>94.072000000000003</v>
      </c>
      <c r="D54" s="8">
        <f>+'input CEE'!H8/1000</f>
        <v>121.994</v>
      </c>
      <c r="E54" s="8">
        <f>+'input CEE'!I8/1000</f>
        <v>172.62299999999999</v>
      </c>
      <c r="F54" s="8"/>
      <c r="G54" s="46">
        <f t="shared" si="2"/>
        <v>50.628999999999991</v>
      </c>
      <c r="H54" s="47">
        <f t="shared" si="3"/>
        <v>0.41501221371542857</v>
      </c>
      <c r="I54" s="8"/>
    </row>
    <row r="55" spans="1:17" x14ac:dyDescent="0.25">
      <c r="A55" s="12" t="s">
        <v>79</v>
      </c>
      <c r="B55" s="8"/>
      <c r="C55" s="8">
        <f>+'input CEE'!G7/1000</f>
        <v>0</v>
      </c>
      <c r="D55" s="8">
        <f>+'input CEE'!H7/1000</f>
        <v>0</v>
      </c>
      <c r="E55" s="8">
        <f>+'input CEE'!I7/1000</f>
        <v>0</v>
      </c>
      <c r="F55" s="8"/>
      <c r="G55" s="46">
        <f t="shared" ref="G55:G80" si="9">+E55-D55</f>
        <v>0</v>
      </c>
      <c r="H55" s="47" t="str">
        <f t="shared" ref="H55:H80" si="10">+IF(D55*E55&lt;=0,"N.S",IF(AND(D55*E55&gt;0,E55&lt;0),-(E55-D55)/D55,(E55-D55)/D55))</f>
        <v>N.S</v>
      </c>
      <c r="I55" s="8"/>
    </row>
    <row r="56" spans="1:17" x14ac:dyDescent="0.25">
      <c r="A56" s="12" t="s">
        <v>80</v>
      </c>
      <c r="B56" s="8"/>
      <c r="C56" s="8">
        <f>+'input CEE'!G6/1000</f>
        <v>0</v>
      </c>
      <c r="D56" s="8">
        <f>+'input CEE'!H6/1000</f>
        <v>0</v>
      </c>
      <c r="E56" s="8">
        <f>+'input CEE'!I6/1000</f>
        <v>0</v>
      </c>
      <c r="F56" s="8"/>
      <c r="G56" s="46">
        <f t="shared" si="9"/>
        <v>0</v>
      </c>
      <c r="H56" s="47" t="str">
        <f t="shared" si="10"/>
        <v>N.S</v>
      </c>
      <c r="I56" s="8"/>
    </row>
    <row r="57" spans="1:17" x14ac:dyDescent="0.25">
      <c r="A57" s="12" t="s">
        <v>81</v>
      </c>
      <c r="B57" s="8"/>
      <c r="C57" s="8">
        <f>('input CEE'!G9+'input CEE'!G11+'input CEE'!G13+'input CEE'!G14+'input CEE'!G15+'input CEE'!G16+'input CEE'!G17)/1000</f>
        <v>2E-3</v>
      </c>
      <c r="D57" s="8">
        <f>('input CEE'!H9+'input CEE'!H11+'input CEE'!H13+'input CEE'!H14+'input CEE'!H15+'input CEE'!H16+'input CEE'!H17)/1000</f>
        <v>3.0000000000000001E-3</v>
      </c>
      <c r="E57" s="8">
        <f>('input CEE'!I9+'input CEE'!I11+'input CEE'!I13+'input CEE'!I14+'input CEE'!I15+'input CEE'!I16+'input CEE'!I17)/1000</f>
        <v>0</v>
      </c>
      <c r="F57" s="8"/>
      <c r="G57" s="46">
        <f t="shared" si="9"/>
        <v>-3.0000000000000001E-3</v>
      </c>
      <c r="H57" s="47" t="str">
        <f t="shared" si="10"/>
        <v>N.S</v>
      </c>
      <c r="I57" s="8"/>
    </row>
    <row r="58" spans="1:17" x14ac:dyDescent="0.25">
      <c r="A58" s="12" t="s">
        <v>382</v>
      </c>
      <c r="B58" s="8"/>
      <c r="C58" s="8">
        <f>'input CEE'!G18/1000</f>
        <v>0</v>
      </c>
      <c r="D58" s="8">
        <f>'input CEE'!H18/1000</f>
        <v>0</v>
      </c>
      <c r="E58" s="8">
        <f>'input CEE'!I18/1000</f>
        <v>0</v>
      </c>
      <c r="F58" s="8"/>
      <c r="G58" s="46">
        <f t="shared" ref="G58:G59" si="11">+E58-D58</f>
        <v>0</v>
      </c>
      <c r="H58" s="47" t="str">
        <f t="shared" ref="H58:H59" si="12">+IF(D58*E58&lt;=0,"N.S",IF(AND(D58*E58&gt;0,E58&lt;0),-(E58-D58)/D58,(E58-D58)/D58))</f>
        <v>N.S</v>
      </c>
      <c r="I58" s="8"/>
    </row>
    <row r="59" spans="1:17" x14ac:dyDescent="0.25">
      <c r="A59" s="12" t="s">
        <v>383</v>
      </c>
      <c r="B59" s="8"/>
      <c r="C59" s="8">
        <f>'input CEE'!G21/1000</f>
        <v>0</v>
      </c>
      <c r="D59" s="8">
        <f>'input CEE'!H21/1000</f>
        <v>0</v>
      </c>
      <c r="E59" s="8">
        <f>'input CEE'!I21/1000</f>
        <v>0</v>
      </c>
      <c r="F59" s="8"/>
      <c r="G59" s="46">
        <f t="shared" si="11"/>
        <v>0</v>
      </c>
      <c r="H59" s="47" t="str">
        <f t="shared" si="12"/>
        <v>N.S</v>
      </c>
      <c r="I59" s="8"/>
    </row>
    <row r="60" spans="1:17" s="4" customFormat="1" x14ac:dyDescent="0.25">
      <c r="A60" s="4" t="s">
        <v>34</v>
      </c>
      <c r="B60" s="13"/>
      <c r="C60" s="13">
        <v>0</v>
      </c>
      <c r="D60" s="13">
        <v>0</v>
      </c>
      <c r="E60" s="13">
        <v>0</v>
      </c>
      <c r="F60" s="13"/>
      <c r="G60" s="44">
        <f t="shared" si="9"/>
        <v>0</v>
      </c>
      <c r="H60" s="45" t="str">
        <f t="shared" si="10"/>
        <v>N.S</v>
      </c>
      <c r="I60" s="13"/>
      <c r="J60" s="27"/>
      <c r="K60" s="2"/>
      <c r="L60"/>
    </row>
    <row r="61" spans="1:17" s="4" customFormat="1" x14ac:dyDescent="0.25">
      <c r="A61" s="4" t="s">
        <v>33</v>
      </c>
      <c r="B61" s="13"/>
      <c r="C61" s="13">
        <f>+'input CEE'!G19/1000</f>
        <v>1039.039</v>
      </c>
      <c r="D61" s="13">
        <f>+'input CEE'!H19/1000</f>
        <v>1569.586</v>
      </c>
      <c r="E61" s="13">
        <f>+'input CEE'!I19/1000</f>
        <v>2531.5129999999999</v>
      </c>
      <c r="F61" s="13"/>
      <c r="G61" s="44">
        <f t="shared" si="9"/>
        <v>961.92699999999991</v>
      </c>
      <c r="H61" s="45">
        <f t="shared" si="10"/>
        <v>0.6128539627647035</v>
      </c>
      <c r="I61" s="13"/>
      <c r="J61" s="27"/>
      <c r="K61" s="2"/>
      <c r="L61"/>
    </row>
    <row r="62" spans="1:17" s="4" customFormat="1" x14ac:dyDescent="0.25">
      <c r="A62" s="4" t="s">
        <v>32</v>
      </c>
      <c r="B62" s="13"/>
      <c r="C62" s="13">
        <f>('input CEE'!G20+'input CEE'!G24)/1000</f>
        <v>558.47</v>
      </c>
      <c r="D62" s="13">
        <f>('input CEE'!H20+'input CEE'!H24)/1000</f>
        <v>1012.5549999999999</v>
      </c>
      <c r="E62" s="13">
        <f>('input CEE'!I20+'input CEE'!I24)/1000</f>
        <v>632.56200000000001</v>
      </c>
      <c r="F62" s="13"/>
      <c r="G62" s="44">
        <f t="shared" si="9"/>
        <v>-379.99299999999994</v>
      </c>
      <c r="H62" s="45">
        <f t="shared" si="10"/>
        <v>-0.37528134274187569</v>
      </c>
      <c r="I62" s="13"/>
      <c r="J62" s="27"/>
      <c r="K62" s="2"/>
      <c r="L62"/>
    </row>
    <row r="63" spans="1:17" s="4" customFormat="1" x14ac:dyDescent="0.25">
      <c r="A63" s="10" t="s">
        <v>31</v>
      </c>
      <c r="B63" s="13"/>
      <c r="C63" s="9">
        <f>+C49+C53+C60+C61+C62</f>
        <v>2691.5830000000005</v>
      </c>
      <c r="D63" s="9">
        <f>+D49+D53+D60+D61+D62</f>
        <v>3704.1379999999999</v>
      </c>
      <c r="E63" s="9">
        <f>+E49+E53+E60+E61+E62</f>
        <v>4336.6980000000003</v>
      </c>
      <c r="F63" s="13"/>
      <c r="G63" s="48">
        <f t="shared" si="9"/>
        <v>632.5600000000004</v>
      </c>
      <c r="H63" s="49">
        <f t="shared" si="10"/>
        <v>0.170771175371976</v>
      </c>
      <c r="I63" s="13"/>
      <c r="J63" s="13">
        <f>E63-(D63+E62)</f>
        <v>-1.9999999994979589E-3</v>
      </c>
      <c r="K63" s="8">
        <f>+J63</f>
        <v>-1.9999999994979589E-3</v>
      </c>
      <c r="L63" t="str">
        <f>+'cash flow FGA'!B15</f>
        <v>increase/(decrease) equity or reserve</v>
      </c>
      <c r="P63" s="34"/>
      <c r="Q63" s="34"/>
    </row>
    <row r="64" spans="1:17" s="4" customFormat="1" x14ac:dyDescent="0.25">
      <c r="A64" s="4" t="s">
        <v>108</v>
      </c>
      <c r="B64" s="13"/>
      <c r="C64" s="13">
        <f>SUM(C65:C67)</f>
        <v>3.4169999999999998</v>
      </c>
      <c r="D64" s="13">
        <f>SUM(D65:D67)</f>
        <v>1.0349999999999999</v>
      </c>
      <c r="E64" s="13">
        <f>SUM(E65:E67)</f>
        <v>0.67800000000000005</v>
      </c>
      <c r="F64" s="13"/>
      <c r="G64" s="44">
        <f t="shared" si="9"/>
        <v>-0.35699999999999987</v>
      </c>
      <c r="H64" s="45">
        <f t="shared" si="10"/>
        <v>-0.34492753623188394</v>
      </c>
      <c r="I64" s="13"/>
      <c r="J64" s="33"/>
      <c r="K64" s="8">
        <f>+G64+G68</f>
        <v>-0.35699999999999987</v>
      </c>
      <c r="L64" t="str">
        <f>+'cash flow FGA'!B23</f>
        <v>increase/(decrease) financial receivables (or cash)</v>
      </c>
    </row>
    <row r="65" spans="1:12" x14ac:dyDescent="0.25">
      <c r="A65" s="12" t="s">
        <v>82</v>
      </c>
      <c r="B65" s="8"/>
      <c r="C65" s="8">
        <f>+'input CEE'!B75/1000</f>
        <v>0</v>
      </c>
      <c r="D65" s="8">
        <f>+'input CEE'!C75/1000</f>
        <v>1.0349999999999999</v>
      </c>
      <c r="E65" s="8">
        <f>+'input CEE'!D75/1000</f>
        <v>0</v>
      </c>
      <c r="F65" s="8"/>
      <c r="G65" s="46">
        <f t="shared" si="9"/>
        <v>-1.0349999999999999</v>
      </c>
      <c r="H65" s="47" t="str">
        <f t="shared" si="10"/>
        <v>N.S</v>
      </c>
      <c r="I65" s="8"/>
    </row>
    <row r="66" spans="1:12" x14ac:dyDescent="0.25">
      <c r="A66" s="12" t="s">
        <v>83</v>
      </c>
      <c r="B66" s="8"/>
      <c r="C66" s="8">
        <f>+'input CEE'!B76/1000</f>
        <v>0</v>
      </c>
      <c r="D66" s="8">
        <f>+'input CEE'!C76/1000</f>
        <v>0</v>
      </c>
      <c r="E66" s="8">
        <f>+'input CEE'!D76/1000</f>
        <v>0</v>
      </c>
      <c r="F66" s="8"/>
      <c r="G66" s="46">
        <f t="shared" si="9"/>
        <v>0</v>
      </c>
      <c r="H66" s="47" t="str">
        <f t="shared" si="10"/>
        <v>N.S</v>
      </c>
      <c r="I66" s="8"/>
    </row>
    <row r="67" spans="1:12" x14ac:dyDescent="0.25">
      <c r="A67" s="12" t="s">
        <v>84</v>
      </c>
      <c r="B67" s="8"/>
      <c r="C67" s="8">
        <f>+'input CEE'!B77/1000</f>
        <v>3.4169999999999998</v>
      </c>
      <c r="D67" s="8">
        <f>+'input CEE'!C77/1000</f>
        <v>0</v>
      </c>
      <c r="E67" s="8">
        <f>+'input CEE'!D77/1000</f>
        <v>0.67800000000000005</v>
      </c>
      <c r="F67" s="8"/>
      <c r="G67" s="46">
        <f t="shared" si="9"/>
        <v>0.67800000000000005</v>
      </c>
      <c r="H67" s="47" t="str">
        <f t="shared" si="10"/>
        <v>N.S</v>
      </c>
      <c r="I67" s="8"/>
    </row>
    <row r="68" spans="1:12" s="4" customFormat="1" x14ac:dyDescent="0.25">
      <c r="A68" s="4" t="s">
        <v>107</v>
      </c>
      <c r="B68" s="13"/>
      <c r="C68" s="13">
        <f>SUM(C69:C71)</f>
        <v>0</v>
      </c>
      <c r="D68" s="13">
        <f>SUM(D69:D71)</f>
        <v>0</v>
      </c>
      <c r="E68" s="13">
        <f>SUM(E69:E71)</f>
        <v>0</v>
      </c>
      <c r="F68" s="13"/>
      <c r="G68" s="44">
        <f t="shared" si="9"/>
        <v>0</v>
      </c>
      <c r="H68" s="45" t="str">
        <f t="shared" si="10"/>
        <v>N.S</v>
      </c>
      <c r="I68" s="13"/>
      <c r="J68" s="33"/>
      <c r="K68" s="2"/>
      <c r="L68"/>
    </row>
    <row r="69" spans="1:12" x14ac:dyDescent="0.25">
      <c r="A69" s="12" t="s">
        <v>302</v>
      </c>
      <c r="B69" s="8"/>
      <c r="C69" s="8">
        <v>0</v>
      </c>
      <c r="D69" s="8">
        <v>0</v>
      </c>
      <c r="E69" s="8">
        <v>0</v>
      </c>
      <c r="F69" s="8"/>
      <c r="G69" s="46">
        <f t="shared" si="9"/>
        <v>0</v>
      </c>
      <c r="H69" s="47" t="str">
        <f t="shared" si="10"/>
        <v>N.S</v>
      </c>
      <c r="I69" s="8"/>
    </row>
    <row r="70" spans="1:12" x14ac:dyDescent="0.25">
      <c r="A70" s="12" t="s">
        <v>303</v>
      </c>
      <c r="B70" s="8"/>
      <c r="C70" s="8">
        <f>'input CEE'!B65/1000</f>
        <v>0</v>
      </c>
      <c r="D70" s="8">
        <f>'input CEE'!C65/1000</f>
        <v>0</v>
      </c>
      <c r="E70" s="8">
        <f>'input CEE'!D65/1000</f>
        <v>0</v>
      </c>
      <c r="F70" s="8"/>
      <c r="G70" s="46">
        <f t="shared" si="9"/>
        <v>0</v>
      </c>
      <c r="H70" s="47" t="str">
        <f t="shared" si="10"/>
        <v>N.S</v>
      </c>
      <c r="I70" s="8"/>
    </row>
    <row r="71" spans="1:12" x14ac:dyDescent="0.25">
      <c r="A71" s="12" t="s">
        <v>86</v>
      </c>
      <c r="B71" s="8"/>
      <c r="C71" s="8">
        <f>'input CEE'!B52/1000</f>
        <v>0</v>
      </c>
      <c r="D71" s="8">
        <f>'input CEE'!C52/1000</f>
        <v>0</v>
      </c>
      <c r="E71" s="8">
        <f>'input CEE'!D52/1000</f>
        <v>0</v>
      </c>
      <c r="F71" s="8"/>
      <c r="G71" s="46">
        <f t="shared" si="9"/>
        <v>0</v>
      </c>
      <c r="H71" s="47" t="str">
        <f t="shared" si="10"/>
        <v>N.S</v>
      </c>
      <c r="I71" s="8"/>
    </row>
    <row r="72" spans="1:12" s="4" customFormat="1" x14ac:dyDescent="0.25">
      <c r="A72" s="4" t="s">
        <v>106</v>
      </c>
      <c r="B72" s="13"/>
      <c r="C72" s="13">
        <f>SUM(C73:C78)</f>
        <v>-41.256999999999998</v>
      </c>
      <c r="D72" s="13">
        <f>SUM(D73:D78)</f>
        <v>-45.234999999999999</v>
      </c>
      <c r="E72" s="13">
        <f>SUM(E73:E78)</f>
        <v>0</v>
      </c>
      <c r="F72" s="13"/>
      <c r="G72" s="44">
        <f t="shared" si="9"/>
        <v>45.234999999999999</v>
      </c>
      <c r="H72" s="45" t="str">
        <f t="shared" si="10"/>
        <v>N.S</v>
      </c>
      <c r="I72" s="13"/>
      <c r="J72" s="33"/>
      <c r="K72" s="2"/>
      <c r="L72"/>
    </row>
    <row r="73" spans="1:12" x14ac:dyDescent="0.25">
      <c r="A73" s="12" t="s">
        <v>85</v>
      </c>
      <c r="B73" s="8"/>
      <c r="C73" s="8">
        <f>-'input CEE'!G43/1000</f>
        <v>-41.256999999999998</v>
      </c>
      <c r="D73" s="8">
        <f>-'input CEE'!H43/1000</f>
        <v>-45.234999999999999</v>
      </c>
      <c r="E73" s="8">
        <f>-'input CEE'!I43/1000</f>
        <v>0</v>
      </c>
      <c r="F73" s="8"/>
      <c r="G73" s="46">
        <f t="shared" si="9"/>
        <v>45.234999999999999</v>
      </c>
      <c r="H73" s="47" t="str">
        <f t="shared" si="10"/>
        <v>N.S</v>
      </c>
      <c r="I73" s="8"/>
      <c r="K73" s="8">
        <f>+G73+G75+G78+G77</f>
        <v>45.234999999999999</v>
      </c>
      <c r="L73" t="str">
        <f>+'cash flow FGA'!B22</f>
        <v>(increase)/decrease financial debts</v>
      </c>
    </row>
    <row r="74" spans="1:12" x14ac:dyDescent="0.25">
      <c r="A74" s="12" t="s">
        <v>87</v>
      </c>
      <c r="B74" s="8"/>
      <c r="C74" s="8">
        <f>-'input CEE'!G44/1000</f>
        <v>0</v>
      </c>
      <c r="D74" s="8">
        <f>-'input CEE'!H44/1000</f>
        <v>0</v>
      </c>
      <c r="E74" s="8">
        <f>-'input CEE'!I44/1000</f>
        <v>0</v>
      </c>
      <c r="F74" s="8"/>
      <c r="G74" s="46">
        <f t="shared" si="9"/>
        <v>0</v>
      </c>
      <c r="H74" s="47" t="str">
        <f t="shared" si="10"/>
        <v>N.S</v>
      </c>
      <c r="I74" s="8"/>
      <c r="K74" s="8">
        <f>+G74+G76</f>
        <v>0</v>
      </c>
      <c r="L74" t="str">
        <f>+'cash flow FGA'!B26</f>
        <v>(increase)/decrease medium/long-term debts</v>
      </c>
    </row>
    <row r="75" spans="1:12" x14ac:dyDescent="0.25">
      <c r="A75" s="12" t="s">
        <v>88</v>
      </c>
      <c r="B75" s="8"/>
      <c r="C75" s="8">
        <f>(-'input CEE'!G46-'input CEE'!G37-'input CEE'!G55)/1000</f>
        <v>0</v>
      </c>
      <c r="D75" s="8">
        <f>(-'input CEE'!H46-'input CEE'!H37-'input CEE'!H55)/1000</f>
        <v>0</v>
      </c>
      <c r="E75" s="8">
        <f>(-'input CEE'!I46-'input CEE'!I37-'input CEE'!I55)/1000</f>
        <v>0</v>
      </c>
      <c r="F75" s="8"/>
      <c r="G75" s="46">
        <f t="shared" si="9"/>
        <v>0</v>
      </c>
      <c r="H75" s="47" t="str">
        <f t="shared" si="10"/>
        <v>N.S</v>
      </c>
      <c r="I75" s="8"/>
    </row>
    <row r="76" spans="1:12" x14ac:dyDescent="0.25">
      <c r="A76" s="12" t="s">
        <v>89</v>
      </c>
      <c r="B76" s="8"/>
      <c r="C76" s="8">
        <f>(-'input CEE'!G47-'input CEE'!G38-'input CEE'!G56)/1000</f>
        <v>0</v>
      </c>
      <c r="D76" s="8">
        <f>(-'input CEE'!H47-'input CEE'!H38-'input CEE'!H56)/1000</f>
        <v>0</v>
      </c>
      <c r="E76" s="8">
        <f>(-'input CEE'!I47-'input CEE'!I38-'input CEE'!I56)/1000</f>
        <v>0</v>
      </c>
      <c r="F76" s="8"/>
      <c r="G76" s="46">
        <f t="shared" si="9"/>
        <v>0</v>
      </c>
      <c r="H76" s="47" t="str">
        <f t="shared" si="10"/>
        <v>N.S</v>
      </c>
      <c r="I76" s="8"/>
    </row>
    <row r="77" spans="1:12" x14ac:dyDescent="0.25">
      <c r="A77" s="12" t="s">
        <v>90</v>
      </c>
      <c r="B77" s="8"/>
      <c r="C77" s="8">
        <f>-('input CEE'!G40+'input CEE'!G41)/1000</f>
        <v>0</v>
      </c>
      <c r="D77" s="8">
        <f>-('input CEE'!H40+'input CEE'!H41)/1000</f>
        <v>0</v>
      </c>
      <c r="E77" s="8">
        <f>-('input CEE'!I40+'input CEE'!I41)/1000</f>
        <v>0</v>
      </c>
      <c r="F77" s="8"/>
      <c r="G77" s="46">
        <f t="shared" si="9"/>
        <v>0</v>
      </c>
      <c r="H77" s="47" t="str">
        <f t="shared" si="10"/>
        <v>N.S</v>
      </c>
      <c r="I77" s="8"/>
    </row>
    <row r="78" spans="1:12" x14ac:dyDescent="0.25">
      <c r="A78" s="12" t="s">
        <v>91</v>
      </c>
      <c r="B78" s="8"/>
      <c r="C78" s="8">
        <f>-('input CEE'!G60)/1000</f>
        <v>0</v>
      </c>
      <c r="D78" s="8">
        <f>-('input CEE'!H60)/1000</f>
        <v>0</v>
      </c>
      <c r="E78" s="8">
        <f>-('input CEE'!I60)/1000</f>
        <v>0</v>
      </c>
      <c r="F78" s="8"/>
      <c r="G78" s="46">
        <f t="shared" si="9"/>
        <v>0</v>
      </c>
      <c r="H78" s="47" t="str">
        <f t="shared" si="10"/>
        <v>N.S</v>
      </c>
      <c r="I78" s="8"/>
    </row>
    <row r="79" spans="1:12" s="4" customFormat="1" x14ac:dyDescent="0.25">
      <c r="A79" s="10" t="s">
        <v>30</v>
      </c>
      <c r="B79" s="13"/>
      <c r="C79" s="9">
        <f>+C64+C68+C72</f>
        <v>-37.839999999999996</v>
      </c>
      <c r="D79" s="9">
        <f>+D64+D68+D72</f>
        <v>-44.2</v>
      </c>
      <c r="E79" s="9">
        <f>+E64+E68+E72</f>
        <v>0.67800000000000005</v>
      </c>
      <c r="F79" s="13"/>
      <c r="G79" s="48">
        <f t="shared" si="9"/>
        <v>44.878</v>
      </c>
      <c r="H79" s="49" t="str">
        <f t="shared" si="10"/>
        <v>N.S</v>
      </c>
      <c r="I79" s="13"/>
      <c r="J79" s="33"/>
      <c r="K79" s="2"/>
      <c r="L79"/>
    </row>
    <row r="80" spans="1:12" s="4" customFormat="1" ht="15.75" thickBot="1" x14ac:dyDescent="0.3">
      <c r="A80" s="10" t="s">
        <v>29</v>
      </c>
      <c r="B80" s="13"/>
      <c r="C80" s="9">
        <f>-C63+C79</f>
        <v>-2729.4230000000007</v>
      </c>
      <c r="D80" s="9">
        <f>-D63+D79</f>
        <v>-3748.3379999999997</v>
      </c>
      <c r="E80" s="9">
        <f>-E63+E79</f>
        <v>-4336.0200000000004</v>
      </c>
      <c r="F80" s="13"/>
      <c r="G80" s="48">
        <f t="shared" si="9"/>
        <v>-587.6820000000007</v>
      </c>
      <c r="H80" s="49">
        <f t="shared" si="10"/>
        <v>-0.15678468697326675</v>
      </c>
      <c r="I80" s="13"/>
      <c r="J80" s="33"/>
      <c r="K80" s="2"/>
      <c r="L80"/>
    </row>
    <row r="81" spans="1:12" s="20" customFormat="1" ht="13.5" thickBot="1" x14ac:dyDescent="0.25">
      <c r="A81" s="131" t="s">
        <v>92</v>
      </c>
      <c r="B81" s="134"/>
      <c r="C81" s="132">
        <f>+C80+C48</f>
        <v>0</v>
      </c>
      <c r="D81" s="132">
        <f>+D80+D48</f>
        <v>0</v>
      </c>
      <c r="E81" s="133">
        <f>+E80+E48</f>
        <v>0</v>
      </c>
      <c r="F81" s="22"/>
      <c r="G81" s="23"/>
      <c r="H81" s="23"/>
      <c r="I81" s="22"/>
      <c r="J81" s="27"/>
      <c r="K81" s="100"/>
    </row>
    <row r="82" spans="1:12" x14ac:dyDescent="0.25">
      <c r="B82" s="8"/>
      <c r="C82" s="8"/>
      <c r="D82" s="8"/>
      <c r="E82" s="8"/>
      <c r="F82" s="8"/>
      <c r="G82" s="7"/>
      <c r="H82" s="7"/>
      <c r="I82" s="8"/>
    </row>
    <row r="83" spans="1:12" x14ac:dyDescent="0.25">
      <c r="A83" s="25" t="s">
        <v>96</v>
      </c>
      <c r="B83" s="8"/>
      <c r="C83" s="8"/>
      <c r="D83" s="8"/>
      <c r="E83" s="8"/>
      <c r="F83" s="8"/>
      <c r="G83" s="7"/>
      <c r="H83" s="7"/>
      <c r="I83" s="8"/>
    </row>
    <row r="84" spans="1:12" s="4" customFormat="1" x14ac:dyDescent="0.25">
      <c r="A84" s="6" t="s">
        <v>27</v>
      </c>
      <c r="B84" s="13"/>
      <c r="C84" s="5">
        <f>'input CEE'!B93/1000</f>
        <v>20727.579000000002</v>
      </c>
      <c r="D84" s="5">
        <f>'input CEE'!C93/1000</f>
        <v>22640.669000000002</v>
      </c>
      <c r="E84" s="5">
        <f>'input CEE'!D93/1000</f>
        <v>20375.419000000002</v>
      </c>
      <c r="F84" s="13"/>
      <c r="G84" s="50">
        <f t="shared" ref="G84:G103" si="13">+E84-D84</f>
        <v>-2265.25</v>
      </c>
      <c r="H84" s="51">
        <f t="shared" ref="H84:H103" si="14">+IF(D84*E84&lt;=0,"N.S",IF(AND(D84*E84&gt;0,E84&lt;0),-(E84-D84)/D84,(E84-D84)/D84))</f>
        <v>-0.10005225552301479</v>
      </c>
      <c r="I84" s="13"/>
      <c r="J84" s="39"/>
      <c r="K84" s="39"/>
      <c r="L84" s="40"/>
    </row>
    <row r="85" spans="1:12" x14ac:dyDescent="0.25">
      <c r="A85" s="12" t="s">
        <v>26</v>
      </c>
      <c r="B85" s="8"/>
      <c r="C85" s="8">
        <f>('input CEE'!B94+'input CEE'!B95+'input CEE'!B96-'input CEE'!B114)/1000</f>
        <v>104.89</v>
      </c>
      <c r="D85" s="8">
        <f>('input CEE'!C94+'input CEE'!C95+'input CEE'!C96-'input CEE'!C114)/1000</f>
        <v>2834.2559999999999</v>
      </c>
      <c r="E85" s="8">
        <f>('input CEE'!D94+'input CEE'!D95+'input CEE'!D96-'input CEE'!D114)/1000</f>
        <v>-2552.4769999999999</v>
      </c>
      <c r="F85" s="8"/>
      <c r="G85" s="46">
        <f t="shared" si="13"/>
        <v>-5386.7330000000002</v>
      </c>
      <c r="H85" s="47" t="str">
        <f t="shared" si="14"/>
        <v>N.S</v>
      </c>
      <c r="I85" s="8"/>
      <c r="J85" s="39"/>
      <c r="K85" s="39"/>
      <c r="L85" s="40"/>
    </row>
    <row r="86" spans="1:12" x14ac:dyDescent="0.25">
      <c r="A86" s="12" t="s">
        <v>25</v>
      </c>
      <c r="B86" s="8"/>
      <c r="C86" s="8">
        <f>-'input CEE'!B100/1000</f>
        <v>-15717.451999999999</v>
      </c>
      <c r="D86" s="8">
        <f>-'input CEE'!C100/1000</f>
        <v>-19371.831999999999</v>
      </c>
      <c r="E86" s="8">
        <f>-'input CEE'!D100/1000</f>
        <v>-11824.508</v>
      </c>
      <c r="F86" s="8"/>
      <c r="G86" s="46">
        <f t="shared" si="13"/>
        <v>7547.3239999999987</v>
      </c>
      <c r="H86" s="47">
        <f t="shared" si="14"/>
        <v>0.38960300708781698</v>
      </c>
      <c r="I86" s="8"/>
      <c r="J86" s="39"/>
      <c r="K86" s="39"/>
      <c r="L86" s="40"/>
    </row>
    <row r="87" spans="1:12" x14ac:dyDescent="0.25">
      <c r="A87" s="12" t="s">
        <v>24</v>
      </c>
      <c r="B87" s="8"/>
      <c r="C87" s="8">
        <f>('input CEE'!B97-'input CEE'!B117)/1000</f>
        <v>450.62599999999998</v>
      </c>
      <c r="D87" s="8">
        <f>('input CEE'!C97-'input CEE'!C117)/1000</f>
        <v>392.70499999999998</v>
      </c>
      <c r="E87" s="8">
        <f>('input CEE'!D97-'input CEE'!D117)/1000</f>
        <v>461.63499999999999</v>
      </c>
      <c r="F87" s="8"/>
      <c r="G87" s="46">
        <f t="shared" si="13"/>
        <v>68.930000000000007</v>
      </c>
      <c r="H87" s="47">
        <f t="shared" si="14"/>
        <v>0.17552615831221913</v>
      </c>
      <c r="I87" s="8"/>
      <c r="J87" s="40"/>
      <c r="K87" s="40"/>
      <c r="L87" s="40"/>
    </row>
    <row r="88" spans="1:12" s="4" customFormat="1" x14ac:dyDescent="0.25">
      <c r="A88" s="6" t="s">
        <v>23</v>
      </c>
      <c r="B88" s="13"/>
      <c r="C88" s="5">
        <f>SUM(C84:C87)</f>
        <v>5565.6430000000018</v>
      </c>
      <c r="D88" s="5">
        <f t="shared" ref="D88" si="15">SUM(D84:D87)</f>
        <v>6495.7980000000043</v>
      </c>
      <c r="E88" s="5">
        <f t="shared" ref="E88" si="16">SUM(E84:E87)</f>
        <v>6460.0690000000031</v>
      </c>
      <c r="F88" s="13"/>
      <c r="G88" s="50">
        <f t="shared" si="13"/>
        <v>-35.729000000001179</v>
      </c>
      <c r="H88" s="51">
        <f t="shared" si="14"/>
        <v>-5.5003249793175767E-3</v>
      </c>
      <c r="I88" s="13"/>
      <c r="J88" s="41"/>
      <c r="K88" s="2"/>
      <c r="L88"/>
    </row>
    <row r="89" spans="1:12" x14ac:dyDescent="0.25">
      <c r="A89" s="12" t="s">
        <v>22</v>
      </c>
      <c r="B89" s="8"/>
      <c r="C89" s="8">
        <f>-'input CEE'!B101/1000</f>
        <v>-1073.498</v>
      </c>
      <c r="D89" s="8">
        <f>-'input CEE'!C101/1000</f>
        <v>-1134.463</v>
      </c>
      <c r="E89" s="8">
        <f>-'input CEE'!D101/1000</f>
        <v>-1169.8019999999999</v>
      </c>
      <c r="F89" s="8"/>
      <c r="G89" s="46">
        <f t="shared" si="13"/>
        <v>-35.338999999999942</v>
      </c>
      <c r="H89" s="47">
        <f t="shared" si="14"/>
        <v>-3.115042094806084E-2</v>
      </c>
      <c r="I89" s="8"/>
    </row>
    <row r="90" spans="1:12" x14ac:dyDescent="0.25">
      <c r="A90" s="12" t="s">
        <v>21</v>
      </c>
      <c r="B90" s="8"/>
      <c r="C90" s="8">
        <f>-'input CEE'!B103/1000</f>
        <v>-2346.3180000000002</v>
      </c>
      <c r="D90" s="8">
        <f>-'input CEE'!C103/1000</f>
        <v>-2420.8809999999999</v>
      </c>
      <c r="E90" s="8">
        <f>-'input CEE'!D103/1000</f>
        <v>-2747.0279999999998</v>
      </c>
      <c r="F90" s="8"/>
      <c r="G90" s="46">
        <f t="shared" si="13"/>
        <v>-326.14699999999993</v>
      </c>
      <c r="H90" s="47">
        <f t="shared" si="14"/>
        <v>-0.13472244195398284</v>
      </c>
      <c r="I90" s="8"/>
    </row>
    <row r="91" spans="1:12" x14ac:dyDescent="0.25">
      <c r="A91" s="12" t="s">
        <v>20</v>
      </c>
      <c r="B91" s="8"/>
      <c r="C91" s="8">
        <f>-'input CEE'!B102/1000</f>
        <v>-540.13499999999999</v>
      </c>
      <c r="D91" s="8">
        <f>-'input CEE'!C102/1000</f>
        <v>-555.11800000000005</v>
      </c>
      <c r="E91" s="8">
        <f>-'input CEE'!D102/1000</f>
        <v>-635.92200000000003</v>
      </c>
      <c r="F91" s="8"/>
      <c r="G91" s="46">
        <f t="shared" si="13"/>
        <v>-80.803999999999974</v>
      </c>
      <c r="H91" s="47">
        <f t="shared" si="14"/>
        <v>-0.14556184450873502</v>
      </c>
      <c r="I91" s="8"/>
    </row>
    <row r="92" spans="1:12" s="4" customFormat="1" x14ac:dyDescent="0.25">
      <c r="A92" s="6" t="s">
        <v>19</v>
      </c>
      <c r="B92" s="13"/>
      <c r="C92" s="5">
        <f>SUM(C88:C91)</f>
        <v>1605.6920000000021</v>
      </c>
      <c r="D92" s="5">
        <f t="shared" ref="D92" si="17">SUM(D88:D91)</f>
        <v>2385.3360000000048</v>
      </c>
      <c r="E92" s="5">
        <f t="shared" ref="E92" si="18">SUM(E88:E91)</f>
        <v>1907.3170000000036</v>
      </c>
      <c r="F92" s="13"/>
      <c r="G92" s="50">
        <f t="shared" si="13"/>
        <v>-478.01900000000114</v>
      </c>
      <c r="H92" s="51">
        <f t="shared" si="14"/>
        <v>-0.20039902135380516</v>
      </c>
      <c r="I92" s="13"/>
      <c r="J92" s="41"/>
      <c r="K92" s="2"/>
      <c r="L92"/>
    </row>
    <row r="93" spans="1:12" x14ac:dyDescent="0.25">
      <c r="A93" s="12" t="s">
        <v>18</v>
      </c>
      <c r="B93" s="8"/>
      <c r="C93" s="8">
        <f>-('input CEE'!B115+'input CEE'!B116)/1000</f>
        <v>0</v>
      </c>
      <c r="D93" s="8">
        <f>-('input CEE'!C115+'input CEE'!C116)/1000</f>
        <v>-139.66399999999999</v>
      </c>
      <c r="E93" s="8">
        <f>-('input CEE'!D115+'input CEE'!D116)/1000</f>
        <v>-182.505</v>
      </c>
      <c r="F93" s="8"/>
      <c r="G93" s="46">
        <f t="shared" si="13"/>
        <v>-42.841000000000008</v>
      </c>
      <c r="H93" s="47">
        <f t="shared" si="14"/>
        <v>-0.30674332684156269</v>
      </c>
      <c r="I93" s="8"/>
    </row>
    <row r="94" spans="1:12" x14ac:dyDescent="0.25">
      <c r="A94" s="12" t="s">
        <v>17</v>
      </c>
      <c r="B94" s="8"/>
      <c r="C94" s="8">
        <f>-'input CEE'!B111/1000</f>
        <v>-748.67899999999997</v>
      </c>
      <c r="D94" s="8">
        <f>-'input CEE'!C111/1000</f>
        <v>-681.90899999999999</v>
      </c>
      <c r="E94" s="8">
        <f>-'input CEE'!D111/1000</f>
        <v>-762.64800000000002</v>
      </c>
      <c r="F94" s="8"/>
      <c r="G94" s="46">
        <f t="shared" si="13"/>
        <v>-80.739000000000033</v>
      </c>
      <c r="H94" s="47">
        <f t="shared" si="14"/>
        <v>-0.11840142892966662</v>
      </c>
      <c r="I94" s="8"/>
      <c r="K94" s="8">
        <f>-E94-E95</f>
        <v>768.73300000000006</v>
      </c>
      <c r="L94" t="str">
        <f>+'cash flow FGA'!B5</f>
        <v>depreciation</v>
      </c>
    </row>
    <row r="95" spans="1:12" x14ac:dyDescent="0.25">
      <c r="A95" s="12" t="s">
        <v>16</v>
      </c>
      <c r="B95" s="8"/>
      <c r="C95" s="8">
        <f>-'input CEE'!B110/1000</f>
        <v>-7.4710000000000001</v>
      </c>
      <c r="D95" s="8">
        <f>-'input CEE'!C110/1000</f>
        <v>-7.1760000000000002</v>
      </c>
      <c r="E95" s="8">
        <f>-'input CEE'!D110/1000</f>
        <v>-6.085</v>
      </c>
      <c r="F95" s="8"/>
      <c r="G95" s="46">
        <f t="shared" si="13"/>
        <v>1.0910000000000002</v>
      </c>
      <c r="H95" s="47">
        <f t="shared" si="14"/>
        <v>0.15203455964325532</v>
      </c>
      <c r="I95" s="8"/>
    </row>
    <row r="96" spans="1:12" x14ac:dyDescent="0.25">
      <c r="A96" s="12" t="s">
        <v>15</v>
      </c>
      <c r="B96" s="8"/>
      <c r="C96" s="8">
        <f>-('input CEE'!B113+'input CEE'!B112)/1000</f>
        <v>-88.126999999999995</v>
      </c>
      <c r="D96" s="8">
        <f>-('input CEE'!C113+'input CEE'!C112)/1000</f>
        <v>-56.128</v>
      </c>
      <c r="E96" s="8">
        <f>-('input CEE'!D113+'input CEE'!D112)/1000</f>
        <v>-5.056</v>
      </c>
      <c r="F96" s="8"/>
      <c r="G96" s="46">
        <f t="shared" si="13"/>
        <v>51.072000000000003</v>
      </c>
      <c r="H96" s="47">
        <f t="shared" si="14"/>
        <v>0.90992018244013684</v>
      </c>
      <c r="I96" s="8"/>
    </row>
    <row r="97" spans="1:12" s="4" customFormat="1" x14ac:dyDescent="0.25">
      <c r="A97" s="6" t="s">
        <v>14</v>
      </c>
      <c r="B97" s="13"/>
      <c r="C97" s="5">
        <f>SUM(C92:C96)</f>
        <v>761.41500000000212</v>
      </c>
      <c r="D97" s="5">
        <f t="shared" ref="D97:E97" si="19">SUM(D92:D96)</f>
        <v>1500.4590000000051</v>
      </c>
      <c r="E97" s="5">
        <f t="shared" si="19"/>
        <v>951.02300000000344</v>
      </c>
      <c r="F97" s="13"/>
      <c r="G97" s="50">
        <f t="shared" si="13"/>
        <v>-549.43600000000163</v>
      </c>
      <c r="H97" s="51">
        <f t="shared" si="14"/>
        <v>-0.36617861601016738</v>
      </c>
      <c r="I97" s="13"/>
      <c r="J97" s="33"/>
      <c r="K97" s="2"/>
      <c r="L97"/>
    </row>
    <row r="98" spans="1:12" x14ac:dyDescent="0.25">
      <c r="A98" s="12" t="s">
        <v>13</v>
      </c>
      <c r="B98" s="8"/>
      <c r="C98" s="8">
        <f>('input CEE'!B122+'input CEE'!B128)/1000</f>
        <v>3.9489999999999998</v>
      </c>
      <c r="D98" s="8">
        <f>('input CEE'!C122+'input CEE'!C128)/1000</f>
        <v>23.303000000000001</v>
      </c>
      <c r="E98" s="8">
        <f>('input CEE'!D122+'input CEE'!D128)/1000</f>
        <v>4.7270000000000003</v>
      </c>
      <c r="F98" s="8"/>
      <c r="G98" s="46">
        <f t="shared" si="13"/>
        <v>-18.576000000000001</v>
      </c>
      <c r="H98" s="47">
        <f t="shared" si="14"/>
        <v>-0.79715058147019702</v>
      </c>
      <c r="I98" s="8"/>
    </row>
    <row r="99" spans="1:12" x14ac:dyDescent="0.25">
      <c r="A99" s="12" t="s">
        <v>12</v>
      </c>
      <c r="B99" s="8"/>
      <c r="C99" s="8">
        <f>-('input CEE'!B133-'input CEE'!B139)/1000</f>
        <v>-0.44600000000000001</v>
      </c>
      <c r="D99" s="8">
        <f>-('input CEE'!C133-'input CEE'!C139)/1000</f>
        <v>-9.7370000000000001</v>
      </c>
      <c r="E99" s="8">
        <f>-('input CEE'!D133-'input CEE'!D139)/1000</f>
        <v>-66.947000000000003</v>
      </c>
      <c r="F99" s="8"/>
      <c r="G99" s="46">
        <f t="shared" si="13"/>
        <v>-57.21</v>
      </c>
      <c r="H99" s="47">
        <f t="shared" si="14"/>
        <v>-5.8755263428160625</v>
      </c>
      <c r="I99" s="8"/>
    </row>
    <row r="100" spans="1:12" x14ac:dyDescent="0.25">
      <c r="A100" s="12" t="s">
        <v>11</v>
      </c>
      <c r="B100" s="8"/>
      <c r="C100" s="8">
        <f>('input CEE'!B142-'input CEE'!B147)/1000</f>
        <v>0</v>
      </c>
      <c r="D100" s="8">
        <f>('input CEE'!C142-'input CEE'!C147)/1000</f>
        <v>0</v>
      </c>
      <c r="E100" s="8">
        <f>('input CEE'!D142-'input CEE'!D147)/1000</f>
        <v>0</v>
      </c>
      <c r="F100" s="8"/>
      <c r="G100" s="46">
        <f t="shared" si="13"/>
        <v>0</v>
      </c>
      <c r="H100" s="47" t="str">
        <f t="shared" si="14"/>
        <v>N.S</v>
      </c>
      <c r="I100" s="8"/>
    </row>
    <row r="101" spans="1:12" s="4" customFormat="1" x14ac:dyDescent="0.25">
      <c r="A101" s="6" t="s">
        <v>10</v>
      </c>
      <c r="B101" s="13"/>
      <c r="C101" s="5">
        <f>C97+C98+C99+C100</f>
        <v>764.91800000000205</v>
      </c>
      <c r="D101" s="5">
        <f t="shared" ref="D101:E101" si="20">D97+D98+D99+D100</f>
        <v>1514.0250000000051</v>
      </c>
      <c r="E101" s="5">
        <f t="shared" si="20"/>
        <v>888.80300000000341</v>
      </c>
      <c r="F101" s="13"/>
      <c r="G101" s="50">
        <f t="shared" si="13"/>
        <v>-625.22200000000169</v>
      </c>
      <c r="H101" s="51">
        <f t="shared" si="14"/>
        <v>-0.4129535509651423</v>
      </c>
      <c r="I101" s="13"/>
      <c r="J101" s="33"/>
      <c r="K101" s="2"/>
      <c r="L101"/>
    </row>
    <row r="102" spans="1:12" x14ac:dyDescent="0.25">
      <c r="A102" s="12" t="s">
        <v>9</v>
      </c>
      <c r="B102" s="8"/>
      <c r="C102" s="8">
        <f>-'input CEE'!B154/1000</f>
        <v>-206.44800000000001</v>
      </c>
      <c r="D102" s="8">
        <f>-'input CEE'!C154/1000</f>
        <v>-501.47</v>
      </c>
      <c r="E102" s="8">
        <f>-'input CEE'!D154/1000</f>
        <v>-256.24099999999999</v>
      </c>
      <c r="F102" s="8"/>
      <c r="G102" s="46">
        <f t="shared" si="13"/>
        <v>245.22900000000004</v>
      </c>
      <c r="H102" s="47">
        <f t="shared" si="14"/>
        <v>0.4890202803756955</v>
      </c>
      <c r="I102" s="8"/>
    </row>
    <row r="103" spans="1:12" s="4" customFormat="1" ht="15.75" thickBot="1" x14ac:dyDescent="0.3">
      <c r="A103" s="6" t="s">
        <v>8</v>
      </c>
      <c r="B103" s="13"/>
      <c r="C103" s="5">
        <f>SUM(C101:C102)</f>
        <v>558.47000000000207</v>
      </c>
      <c r="D103" s="5">
        <f t="shared" ref="D103" si="21">SUM(D101:D102)</f>
        <v>1012.5550000000051</v>
      </c>
      <c r="E103" s="5">
        <f t="shared" ref="E103" si="22">SUM(E101:E102)</f>
        <v>632.56200000000342</v>
      </c>
      <c r="F103" s="13"/>
      <c r="G103" s="50">
        <f t="shared" si="13"/>
        <v>-379.99300000000164</v>
      </c>
      <c r="H103" s="51">
        <f t="shared" si="14"/>
        <v>-0.37528134274187552</v>
      </c>
      <c r="I103" s="13"/>
      <c r="J103" s="33"/>
      <c r="K103" s="8">
        <f>+E103</f>
        <v>632.56200000000342</v>
      </c>
      <c r="L103" t="str">
        <f>+'cash flow FGA'!B4</f>
        <v>net result</v>
      </c>
    </row>
    <row r="104" spans="1:12" ht="15.75" thickBot="1" x14ac:dyDescent="0.3">
      <c r="A104" s="131" t="s">
        <v>92</v>
      </c>
      <c r="B104" s="135"/>
      <c r="C104" s="132">
        <f>C103-C62</f>
        <v>2.0463630789890885E-12</v>
      </c>
      <c r="D104" s="132">
        <f t="shared" ref="D104:E104" si="23">D103-D62</f>
        <v>5.1159076974727213E-12</v>
      </c>
      <c r="E104" s="133">
        <f t="shared" si="23"/>
        <v>3.4106051316484809E-12</v>
      </c>
      <c r="G104" s="3"/>
      <c r="H104" s="3"/>
    </row>
    <row r="105" spans="1:12" x14ac:dyDescent="0.25">
      <c r="G105" s="3"/>
      <c r="H105" s="3"/>
    </row>
    <row r="106" spans="1:12" s="29" customFormat="1" ht="12.75" x14ac:dyDescent="0.2">
      <c r="A106" s="29" t="s">
        <v>7</v>
      </c>
      <c r="B106" s="30"/>
      <c r="C106" s="30">
        <f>-C79/C63</f>
        <v>1.4058641327427016E-2</v>
      </c>
      <c r="D106" s="30">
        <f>-D79/D63</f>
        <v>1.1932600783232159E-2</v>
      </c>
      <c r="E106" s="30">
        <f>-E79/E63</f>
        <v>-1.5634014635097947E-4</v>
      </c>
      <c r="F106" s="30"/>
      <c r="G106" s="30" t="s">
        <v>98</v>
      </c>
      <c r="H106" s="30"/>
      <c r="I106" s="30"/>
      <c r="J106" s="35"/>
      <c r="K106" s="101"/>
    </row>
    <row r="107" spans="1:12" s="29" customFormat="1" ht="12.75" x14ac:dyDescent="0.2">
      <c r="A107" s="29" t="s">
        <v>6</v>
      </c>
      <c r="B107" s="31"/>
      <c r="C107" s="32">
        <f>(-C74-C76+C63-C47-C46)/C29</f>
        <v>0.9608983056276873</v>
      </c>
      <c r="D107" s="32">
        <f>(-D74-D76+D63-D47-D46)/D29</f>
        <v>0.97411699119977635</v>
      </c>
      <c r="E107" s="32">
        <f>(-E74-E76+E63-E47-E46)/E29</f>
        <v>1.0003932399842708</v>
      </c>
      <c r="F107" s="31"/>
      <c r="G107" s="30" t="s">
        <v>99</v>
      </c>
      <c r="H107" s="30"/>
      <c r="I107" s="31"/>
      <c r="J107" s="35"/>
      <c r="K107" s="101"/>
    </row>
    <row r="108" spans="1:12" s="29" customFormat="1" ht="12.75" x14ac:dyDescent="0.2">
      <c r="A108" s="29" t="s">
        <v>5</v>
      </c>
      <c r="B108" s="31"/>
      <c r="C108" s="32">
        <f>C63/(C5+C13+C18+C30+C36+C42+C64+C68)</f>
        <v>0.26234005571788654</v>
      </c>
      <c r="D108" s="32">
        <f>D63/(D5+D13+D18+D30+D36+D42+D64+D68)</f>
        <v>0.25749024350620797</v>
      </c>
      <c r="E108" s="32">
        <f>E63/(E5+E13+E18+E30+E36+E42+E64+E68)</f>
        <v>0.39415762640416507</v>
      </c>
      <c r="F108" s="31"/>
      <c r="G108" s="30" t="s">
        <v>100</v>
      </c>
      <c r="H108" s="30"/>
      <c r="I108" s="31"/>
      <c r="J108" s="35"/>
      <c r="K108" s="101"/>
    </row>
    <row r="109" spans="1:12" s="29" customFormat="1" ht="12.75" x14ac:dyDescent="0.2">
      <c r="A109" s="29" t="s">
        <v>4</v>
      </c>
      <c r="B109" s="30"/>
      <c r="C109" s="30">
        <f>(+C6+C9+C11+C18+C13+C64+C69+C70)/(-C19+C22+C23+C26-C27-C73-C75)</f>
        <v>4.2340938373547257</v>
      </c>
      <c r="D109" s="30">
        <f>(+D6+D9+D11+D18+D13+D64+D69+D70)/(-D19+D22+D23+D26-D27-D73-D75)</f>
        <v>5.4439147673179447</v>
      </c>
      <c r="E109" s="30">
        <f>(+E6+E9+E11+E18+E13+E64+E69+E70)/(-E19+E22+E23+E26-E27-E73-E75)</f>
        <v>3.640758264156958</v>
      </c>
      <c r="F109" s="30"/>
      <c r="G109" s="30" t="s">
        <v>101</v>
      </c>
      <c r="H109" s="30"/>
      <c r="I109" s="30"/>
      <c r="J109" s="35"/>
      <c r="K109" s="101"/>
    </row>
    <row r="110" spans="1:12" s="26" customFormat="1" ht="12.75" x14ac:dyDescent="0.2">
      <c r="B110" s="18"/>
      <c r="C110" s="18"/>
      <c r="D110" s="18"/>
      <c r="E110" s="18"/>
      <c r="F110" s="18"/>
      <c r="G110" s="16"/>
      <c r="H110" s="16"/>
      <c r="I110" s="18"/>
      <c r="J110" s="28"/>
      <c r="K110" s="102"/>
    </row>
    <row r="111" spans="1:12" s="24" customFormat="1" ht="12.75" x14ac:dyDescent="0.2">
      <c r="A111" s="24" t="s">
        <v>3</v>
      </c>
      <c r="B111" s="19"/>
      <c r="C111" s="17">
        <f>C97/C84</f>
        <v>3.6734391411558584E-2</v>
      </c>
      <c r="D111" s="17">
        <f>D97/D84</f>
        <v>6.6272732488602923E-2</v>
      </c>
      <c r="E111" s="17">
        <f>E97/E84</f>
        <v>4.6675015615629957E-2</v>
      </c>
      <c r="F111" s="19"/>
      <c r="G111" s="16" t="s">
        <v>102</v>
      </c>
      <c r="H111" s="16"/>
      <c r="I111" s="19"/>
      <c r="J111" s="27"/>
      <c r="K111" s="15"/>
    </row>
    <row r="112" spans="1:12" s="24" customFormat="1" ht="12.75" x14ac:dyDescent="0.2">
      <c r="A112" s="24" t="s">
        <v>2</v>
      </c>
      <c r="B112" s="19"/>
      <c r="C112" s="17">
        <f>IF(C97&lt;0,"n/a",(C97+C99+C98)/C97)</f>
        <v>1.0046006448520188</v>
      </c>
      <c r="D112" s="17">
        <f>IF(D97&lt;0,"n/a",(D97+D99+D98)/D97)</f>
        <v>1.0090412333825849</v>
      </c>
      <c r="E112" s="17">
        <f>IF(E97&lt;0,"n/a",(E97+E99+E98)/E97)</f>
        <v>0.93457571478292345</v>
      </c>
      <c r="F112" s="19"/>
      <c r="G112" s="16" t="s">
        <v>103</v>
      </c>
      <c r="H112" s="16"/>
      <c r="I112" s="19"/>
      <c r="J112" s="27"/>
      <c r="K112" s="15"/>
    </row>
    <row r="113" spans="1:12" s="24" customFormat="1" ht="12.75" x14ac:dyDescent="0.2">
      <c r="A113" s="24" t="s">
        <v>1</v>
      </c>
      <c r="B113" s="19"/>
      <c r="C113" s="17">
        <f>C97/C48</f>
        <v>0.2789655542581716</v>
      </c>
      <c r="D113" s="17">
        <f>D97/D48</f>
        <v>0.40029981287706834</v>
      </c>
      <c r="E113" s="17">
        <f>E97/E48</f>
        <v>0.21933086102001456</v>
      </c>
      <c r="F113" s="19"/>
      <c r="G113" s="16" t="s">
        <v>104</v>
      </c>
      <c r="H113" s="16"/>
      <c r="I113" s="19"/>
      <c r="J113" s="27"/>
      <c r="K113" s="15"/>
    </row>
    <row r="114" spans="1:12" s="24" customFormat="1" ht="12.75" x14ac:dyDescent="0.2">
      <c r="A114" s="24" t="s">
        <v>0</v>
      </c>
      <c r="B114" s="19"/>
      <c r="C114" s="17">
        <f>C103/C63</f>
        <v>0.20748756400973031</v>
      </c>
      <c r="D114" s="17">
        <f>D103/D63</f>
        <v>0.27335779606483479</v>
      </c>
      <c r="E114" s="17">
        <f>E103/E63</f>
        <v>0.14586258946322833</v>
      </c>
      <c r="F114" s="19"/>
      <c r="G114" s="16" t="s">
        <v>105</v>
      </c>
      <c r="H114" s="16"/>
      <c r="I114" s="19"/>
      <c r="J114" s="27"/>
      <c r="K114" s="15"/>
    </row>
    <row r="115" spans="1:12" s="24" customFormat="1" ht="12.75" x14ac:dyDescent="0.2">
      <c r="B115" s="15"/>
      <c r="C115" s="15"/>
      <c r="D115" s="15"/>
      <c r="E115" s="15"/>
      <c r="F115" s="15"/>
      <c r="G115" s="15"/>
      <c r="H115" s="15"/>
      <c r="I115" s="15"/>
      <c r="J115" s="27"/>
      <c r="K115" s="15"/>
    </row>
    <row r="116" spans="1:12" s="24" customFormat="1" ht="12.75" x14ac:dyDescent="0.2">
      <c r="A116" s="24" t="s">
        <v>93</v>
      </c>
      <c r="B116" s="16"/>
      <c r="C116" s="16">
        <f>(C6+C7)/C84*360</f>
        <v>84.473020221030154</v>
      </c>
      <c r="D116" s="16">
        <f>(D6+D7)/D84*360</f>
        <v>60.539557377920239</v>
      </c>
      <c r="E116" s="16">
        <f>(E6+E7)/E84*360</f>
        <v>67.295222738732377</v>
      </c>
      <c r="F116" s="16"/>
      <c r="G116" s="16">
        <f>+E116-D116</f>
        <v>6.755665360812138</v>
      </c>
      <c r="H116" s="16"/>
      <c r="I116" s="16"/>
      <c r="J116" s="27"/>
      <c r="K116" s="15"/>
    </row>
    <row r="117" spans="1:12" s="24" customFormat="1" ht="12.75" x14ac:dyDescent="0.2">
      <c r="A117" s="24" t="s">
        <v>94</v>
      </c>
      <c r="B117" s="16"/>
      <c r="C117" s="16">
        <f>(C20+C21+C23)/(C86+C89+C91)*360</f>
        <v>54.496080308878525</v>
      </c>
      <c r="D117" s="16">
        <f>(D20+D21+D23)/(D86+D89+D91)*360</f>
        <v>25.97367612514887</v>
      </c>
      <c r="E117" s="16">
        <f>(E20+E21+E23)/(E86+E89+E91)*360</f>
        <v>38.578374894866059</v>
      </c>
      <c r="F117" s="16"/>
      <c r="G117" s="16">
        <f>+E117-D117</f>
        <v>12.604698769717189</v>
      </c>
      <c r="H117" s="16"/>
      <c r="I117" s="16"/>
      <c r="J117" s="27"/>
      <c r="K117" s="15"/>
    </row>
    <row r="118" spans="1:12" s="24" customFormat="1" ht="12.75" x14ac:dyDescent="0.2">
      <c r="A118" s="24" t="s">
        <v>95</v>
      </c>
      <c r="B118" s="16"/>
      <c r="C118" s="16">
        <f>C13/-C86*360</f>
        <v>44.51961297543648</v>
      </c>
      <c r="D118" s="16">
        <f>D13/-D86*360</f>
        <v>88.951081136776338</v>
      </c>
      <c r="E118" s="16">
        <f>E13/-E86*360</f>
        <v>67.522643648260029</v>
      </c>
      <c r="F118" s="16"/>
      <c r="G118" s="16">
        <f>+E118-D118</f>
        <v>-21.428437488516309</v>
      </c>
      <c r="H118" s="16"/>
      <c r="I118" s="16"/>
      <c r="J118" s="27"/>
      <c r="K118" s="15"/>
    </row>
    <row r="119" spans="1:12" s="24" customFormat="1" ht="12.75" x14ac:dyDescent="0.2">
      <c r="B119" s="16"/>
      <c r="C119" s="16"/>
      <c r="D119" s="16"/>
      <c r="E119" s="16"/>
      <c r="F119" s="16"/>
      <c r="G119" s="16"/>
      <c r="H119" s="16"/>
      <c r="I119" s="16"/>
      <c r="J119" s="27"/>
      <c r="K119" s="15"/>
    </row>
    <row r="120" spans="1:12" x14ac:dyDescent="0.25">
      <c r="A120" s="38"/>
      <c r="C120" s="105"/>
      <c r="D120" s="105"/>
      <c r="E120" s="105"/>
    </row>
    <row r="121" spans="1:12" s="4" customFormat="1" x14ac:dyDescent="0.25">
      <c r="B121" s="42"/>
      <c r="C121" s="105"/>
      <c r="D121" s="105"/>
      <c r="E121" s="105"/>
      <c r="F121" s="42"/>
      <c r="G121" s="43"/>
      <c r="H121" s="43"/>
      <c r="I121" s="42"/>
      <c r="J121" s="33"/>
      <c r="K121" s="2"/>
      <c r="L121"/>
    </row>
  </sheetData>
  <mergeCells count="2">
    <mergeCell ref="G2:H2"/>
    <mergeCell ref="K2:L2"/>
  </mergeCells>
  <conditionalFormatting sqref="C81:E81">
    <cfRule type="cellIs" dxfId="3" priority="2" operator="equal">
      <formula>0</formula>
    </cfRule>
  </conditionalFormatting>
  <conditionalFormatting sqref="C104:E104">
    <cfRule type="cellIs" dxfId="2" priority="1" operator="equal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84" orientation="portrait" r:id="rId1"/>
  <headerFooter>
    <oddFooter>&amp;L&amp;F&amp;C&amp;D&amp;R&amp;A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L176"/>
  <sheetViews>
    <sheetView zoomScale="80" zoomScaleNormal="80" workbookViewId="0">
      <pane ySplit="1" topLeftCell="A2" activePane="bottomLeft" state="frozen"/>
      <selection pane="bottomLeft" activeCell="G75" sqref="G75:I75"/>
    </sheetView>
  </sheetViews>
  <sheetFormatPr defaultRowHeight="12.75" x14ac:dyDescent="0.2"/>
  <cols>
    <col min="1" max="1" width="82.140625" style="27" bestFit="1" customWidth="1"/>
    <col min="2" max="4" width="14" style="35" customWidth="1"/>
    <col min="5" max="5" width="5.7109375" style="27" customWidth="1"/>
    <col min="6" max="6" width="80.5703125" style="27" bestFit="1" customWidth="1"/>
    <col min="7" max="9" width="13.5703125" style="27" bestFit="1" customWidth="1"/>
    <col min="10" max="16384" width="9.140625" style="27"/>
  </cols>
  <sheetData>
    <row r="1" spans="1:9" x14ac:dyDescent="0.2">
      <c r="A1" s="88" t="s">
        <v>192</v>
      </c>
      <c r="B1" s="89">
        <v>2022</v>
      </c>
      <c r="C1" s="89">
        <v>2023</v>
      </c>
      <c r="D1" s="89">
        <v>2024</v>
      </c>
      <c r="F1" s="88" t="s">
        <v>233</v>
      </c>
      <c r="G1" s="89">
        <f>+B1</f>
        <v>2022</v>
      </c>
      <c r="H1" s="89">
        <f>+C1</f>
        <v>2023</v>
      </c>
      <c r="I1" s="89">
        <f>+D1</f>
        <v>2024</v>
      </c>
    </row>
    <row r="3" spans="1:9" x14ac:dyDescent="0.2">
      <c r="A3" s="83" t="s">
        <v>193</v>
      </c>
      <c r="B3" s="84">
        <f>+B4+B5</f>
        <v>0</v>
      </c>
      <c r="C3" s="84">
        <f>+C4+C5</f>
        <v>0</v>
      </c>
      <c r="D3" s="84">
        <f>+D4+D5</f>
        <v>0</v>
      </c>
      <c r="F3" s="83" t="s">
        <v>315</v>
      </c>
      <c r="G3" s="85">
        <f>+G4+G22</f>
        <v>2691583</v>
      </c>
      <c r="H3" s="85">
        <f>+H4+H22</f>
        <v>3704138</v>
      </c>
      <c r="I3" s="85">
        <f>+I4+I22</f>
        <v>4336698</v>
      </c>
    </row>
    <row r="4" spans="1:9" x14ac:dyDescent="0.2">
      <c r="A4" s="35" t="s">
        <v>309</v>
      </c>
      <c r="B4" s="90"/>
      <c r="C4" s="90"/>
      <c r="D4" s="90"/>
      <c r="F4" s="69" t="s">
        <v>320</v>
      </c>
      <c r="G4" s="72">
        <f>+G5+G6+G7+G8+G9+G10+G18+G19+G20+G21</f>
        <v>2691583</v>
      </c>
      <c r="H4" s="72">
        <f t="shared" ref="H4:I4" si="0">+H5+H6+H7+H8+H9+H10+H18+H19+H20+H21</f>
        <v>3704138</v>
      </c>
      <c r="I4" s="72">
        <f t="shared" si="0"/>
        <v>4336698</v>
      </c>
    </row>
    <row r="5" spans="1:9" x14ac:dyDescent="0.2">
      <c r="A5" s="35" t="s">
        <v>310</v>
      </c>
      <c r="B5" s="90"/>
      <c r="C5" s="90"/>
      <c r="D5" s="90"/>
      <c r="F5" s="35" t="s">
        <v>234</v>
      </c>
      <c r="G5" s="91">
        <v>1000000</v>
      </c>
      <c r="H5" s="91">
        <v>1000000</v>
      </c>
      <c r="I5" s="91">
        <v>1000000</v>
      </c>
    </row>
    <row r="6" spans="1:9" x14ac:dyDescent="0.2">
      <c r="F6" s="35" t="s">
        <v>235</v>
      </c>
      <c r="G6" s="91">
        <v>0</v>
      </c>
      <c r="H6" s="91">
        <v>0</v>
      </c>
      <c r="I6" s="91">
        <v>0</v>
      </c>
    </row>
    <row r="7" spans="1:9" x14ac:dyDescent="0.2">
      <c r="A7" s="83" t="s">
        <v>307</v>
      </c>
      <c r="B7" s="84">
        <f>SUM(B8,B16,B22)</f>
        <v>1761690</v>
      </c>
      <c r="C7" s="84">
        <f>SUM(C8,C16,C22)</f>
        <v>2040654</v>
      </c>
      <c r="D7" s="84">
        <f>SUM(D8,D16,D22)</f>
        <v>2611882</v>
      </c>
      <c r="F7" s="35" t="s">
        <v>313</v>
      </c>
      <c r="G7" s="91">
        <v>0</v>
      </c>
      <c r="H7" s="91">
        <v>0</v>
      </c>
      <c r="I7" s="91">
        <v>0</v>
      </c>
    </row>
    <row r="8" spans="1:9" x14ac:dyDescent="0.2">
      <c r="A8" s="69" t="s">
        <v>194</v>
      </c>
      <c r="B8" s="72">
        <f>SUM(B9:B15)</f>
        <v>12301</v>
      </c>
      <c r="C8" s="72">
        <f>SUM(C9:C15)</f>
        <v>6565</v>
      </c>
      <c r="D8" s="72">
        <f>SUM(D9:D15)</f>
        <v>480</v>
      </c>
      <c r="F8" s="35" t="s">
        <v>314</v>
      </c>
      <c r="G8" s="91">
        <v>94072</v>
      </c>
      <c r="H8" s="91">
        <v>121994</v>
      </c>
      <c r="I8" s="91">
        <v>172623</v>
      </c>
    </row>
    <row r="9" spans="1:9" x14ac:dyDescent="0.2">
      <c r="A9" s="35" t="s">
        <v>195</v>
      </c>
      <c r="B9" s="136">
        <v>0</v>
      </c>
      <c r="C9" s="136">
        <v>0</v>
      </c>
      <c r="D9" s="136">
        <v>0</v>
      </c>
      <c r="F9" s="35" t="s">
        <v>361</v>
      </c>
      <c r="G9" s="91">
        <v>0</v>
      </c>
      <c r="H9" s="91">
        <v>0</v>
      </c>
      <c r="I9" s="91">
        <v>0</v>
      </c>
    </row>
    <row r="10" spans="1:9" x14ac:dyDescent="0.2">
      <c r="A10" s="28" t="s">
        <v>343</v>
      </c>
      <c r="B10" s="136">
        <v>0</v>
      </c>
      <c r="C10" s="136">
        <v>0</v>
      </c>
      <c r="D10" s="136">
        <v>0</v>
      </c>
      <c r="F10" s="35" t="s">
        <v>362</v>
      </c>
      <c r="G10" s="74">
        <f>SUM(G11+G12+G13+G14+G15+G16+G17)</f>
        <v>2</v>
      </c>
      <c r="H10" s="74">
        <f>SUM(H11+H12+H13+H14+H15+H16+H17)</f>
        <v>3</v>
      </c>
      <c r="I10" s="74">
        <f>SUM(I11+I12+I13+I14+I15+I16+I17)</f>
        <v>0</v>
      </c>
    </row>
    <row r="11" spans="1:9" x14ac:dyDescent="0.2">
      <c r="A11" s="35" t="s">
        <v>196</v>
      </c>
      <c r="B11" s="136">
        <v>0</v>
      </c>
      <c r="C11" s="136">
        <v>0</v>
      </c>
      <c r="D11" s="136">
        <v>0</v>
      </c>
      <c r="F11" s="70" t="s">
        <v>282</v>
      </c>
      <c r="G11" s="91"/>
      <c r="H11" s="91"/>
      <c r="I11" s="91"/>
    </row>
    <row r="12" spans="1:9" x14ac:dyDescent="0.2">
      <c r="A12" s="35" t="s">
        <v>197</v>
      </c>
      <c r="B12" s="136">
        <v>12301</v>
      </c>
      <c r="C12" s="136">
        <v>6565</v>
      </c>
      <c r="D12" s="136">
        <v>480</v>
      </c>
      <c r="F12" s="70" t="s">
        <v>283</v>
      </c>
      <c r="G12" s="91"/>
      <c r="H12" s="91"/>
      <c r="I12" s="91"/>
    </row>
    <row r="13" spans="1:9" x14ac:dyDescent="0.2">
      <c r="A13" s="35" t="s">
        <v>198</v>
      </c>
      <c r="B13" s="136">
        <v>0</v>
      </c>
      <c r="C13" s="136">
        <v>0</v>
      </c>
      <c r="D13" s="136">
        <v>0</v>
      </c>
      <c r="F13" s="70" t="s">
        <v>284</v>
      </c>
      <c r="G13" s="91"/>
      <c r="H13" s="91"/>
      <c r="I13" s="91"/>
    </row>
    <row r="14" spans="1:9" x14ac:dyDescent="0.2">
      <c r="A14" s="35" t="s">
        <v>199</v>
      </c>
      <c r="B14" s="136">
        <v>0</v>
      </c>
      <c r="C14" s="136">
        <v>0</v>
      </c>
      <c r="D14" s="136">
        <v>0</v>
      </c>
      <c r="F14" s="70" t="s">
        <v>285</v>
      </c>
      <c r="G14" s="91"/>
      <c r="H14" s="91"/>
      <c r="I14" s="91"/>
    </row>
    <row r="15" spans="1:9" x14ac:dyDescent="0.2">
      <c r="A15" s="35" t="s">
        <v>200</v>
      </c>
      <c r="B15" s="136">
        <v>0</v>
      </c>
      <c r="C15" s="136">
        <v>0</v>
      </c>
      <c r="D15" s="136">
        <v>0</v>
      </c>
      <c r="F15" s="70" t="s">
        <v>286</v>
      </c>
      <c r="G15" s="91"/>
      <c r="H15" s="91"/>
      <c r="I15" s="91"/>
    </row>
    <row r="16" spans="1:9" x14ac:dyDescent="0.2">
      <c r="A16" s="69" t="s">
        <v>201</v>
      </c>
      <c r="B16" s="72">
        <f>SUM(B17:B21)</f>
        <v>1708439</v>
      </c>
      <c r="C16" s="72">
        <f>SUM(C17:C21)</f>
        <v>1993139</v>
      </c>
      <c r="D16" s="72">
        <f>SUM(D17:D21)</f>
        <v>2551402</v>
      </c>
      <c r="F16" s="70" t="s">
        <v>287</v>
      </c>
      <c r="G16" s="91"/>
      <c r="H16" s="91"/>
      <c r="I16" s="91"/>
    </row>
    <row r="17" spans="1:9" x14ac:dyDescent="0.2">
      <c r="A17" s="35" t="s">
        <v>202</v>
      </c>
      <c r="B17" s="136">
        <v>0</v>
      </c>
      <c r="C17" s="136">
        <v>0</v>
      </c>
      <c r="D17" s="136">
        <v>0</v>
      </c>
      <c r="F17" s="70" t="s">
        <v>288</v>
      </c>
      <c r="G17" s="91">
        <v>2</v>
      </c>
      <c r="H17" s="91">
        <v>3</v>
      </c>
      <c r="I17" s="91">
        <v>0</v>
      </c>
    </row>
    <row r="18" spans="1:9" x14ac:dyDescent="0.2">
      <c r="A18" s="35" t="s">
        <v>203</v>
      </c>
      <c r="B18" s="136">
        <v>0</v>
      </c>
      <c r="C18" s="136">
        <v>0</v>
      </c>
      <c r="D18" s="136">
        <v>0</v>
      </c>
      <c r="F18" s="28" t="s">
        <v>363</v>
      </c>
      <c r="G18" s="91"/>
      <c r="H18" s="91"/>
      <c r="I18" s="91"/>
    </row>
    <row r="19" spans="1:9" x14ac:dyDescent="0.2">
      <c r="A19" s="35" t="s">
        <v>204</v>
      </c>
      <c r="B19" s="136">
        <v>15477</v>
      </c>
      <c r="C19" s="136">
        <v>19754</v>
      </c>
      <c r="D19" s="136">
        <v>7307</v>
      </c>
      <c r="F19" s="35" t="s">
        <v>364</v>
      </c>
      <c r="G19" s="91">
        <v>1039039</v>
      </c>
      <c r="H19" s="91">
        <v>1569586</v>
      </c>
      <c r="I19" s="91">
        <v>2531513</v>
      </c>
    </row>
    <row r="20" spans="1:9" x14ac:dyDescent="0.2">
      <c r="A20" s="35" t="s">
        <v>205</v>
      </c>
      <c r="B20" s="136">
        <v>1692962</v>
      </c>
      <c r="C20" s="136">
        <v>1973385</v>
      </c>
      <c r="D20" s="136">
        <v>2544095</v>
      </c>
      <c r="F20" s="35" t="s">
        <v>365</v>
      </c>
      <c r="G20" s="91">
        <v>558470</v>
      </c>
      <c r="H20" s="91">
        <v>1012555</v>
      </c>
      <c r="I20" s="91">
        <v>632562</v>
      </c>
    </row>
    <row r="21" spans="1:9" x14ac:dyDescent="0.2">
      <c r="A21" s="35" t="s">
        <v>206</v>
      </c>
      <c r="B21" s="136">
        <v>0</v>
      </c>
      <c r="C21" s="136">
        <v>0</v>
      </c>
      <c r="D21" s="136">
        <v>0</v>
      </c>
      <c r="F21" s="28" t="s">
        <v>366</v>
      </c>
      <c r="G21" s="91">
        <v>0</v>
      </c>
      <c r="H21" s="91">
        <v>0</v>
      </c>
      <c r="I21" s="91">
        <v>0</v>
      </c>
    </row>
    <row r="22" spans="1:9" x14ac:dyDescent="0.2">
      <c r="A22" s="69" t="s">
        <v>207</v>
      </c>
      <c r="B22" s="72">
        <f>SUM(B23+B29+B35+B36)</f>
        <v>40950</v>
      </c>
      <c r="C22" s="72">
        <f t="shared" ref="C22:D22" si="1">SUM(C23+C29+C35+C36)</f>
        <v>40950</v>
      </c>
      <c r="D22" s="72">
        <f t="shared" si="1"/>
        <v>60000</v>
      </c>
      <c r="F22" s="69" t="s">
        <v>321</v>
      </c>
      <c r="G22" s="72">
        <f>+G23+G24</f>
        <v>0</v>
      </c>
      <c r="H22" s="72">
        <f>+H23+H24</f>
        <v>0</v>
      </c>
      <c r="I22" s="72">
        <f>+I23+I24</f>
        <v>0</v>
      </c>
    </row>
    <row r="23" spans="1:9" x14ac:dyDescent="0.2">
      <c r="A23" s="35" t="s">
        <v>208</v>
      </c>
      <c r="B23" s="71">
        <f>SUM(B24:B28)</f>
        <v>0</v>
      </c>
      <c r="C23" s="71">
        <f t="shared" ref="C23:D23" si="2">SUM(C24:C28)</f>
        <v>40950</v>
      </c>
      <c r="D23" s="71">
        <f t="shared" si="2"/>
        <v>0</v>
      </c>
      <c r="F23" s="35" t="s">
        <v>316</v>
      </c>
      <c r="G23" s="91"/>
      <c r="H23" s="91"/>
      <c r="I23" s="91"/>
    </row>
    <row r="24" spans="1:9" x14ac:dyDescent="0.2">
      <c r="A24" s="35" t="s">
        <v>344</v>
      </c>
      <c r="B24" s="136">
        <v>0</v>
      </c>
      <c r="C24" s="136">
        <v>0</v>
      </c>
      <c r="D24" s="136">
        <v>0</v>
      </c>
      <c r="F24" s="35" t="s">
        <v>317</v>
      </c>
      <c r="G24" s="91"/>
      <c r="H24" s="91"/>
      <c r="I24" s="91"/>
    </row>
    <row r="25" spans="1:9" x14ac:dyDescent="0.2">
      <c r="A25" s="35" t="s">
        <v>345</v>
      </c>
      <c r="B25" s="136">
        <v>0</v>
      </c>
      <c r="C25" s="136">
        <v>0</v>
      </c>
      <c r="D25" s="136">
        <v>0</v>
      </c>
      <c r="F25" s="35"/>
      <c r="G25" s="73"/>
      <c r="H25" s="73"/>
      <c r="I25" s="73"/>
    </row>
    <row r="26" spans="1:9" x14ac:dyDescent="0.2">
      <c r="A26" s="35" t="s">
        <v>346</v>
      </c>
      <c r="B26" s="136">
        <v>0</v>
      </c>
      <c r="C26" s="136">
        <v>0</v>
      </c>
      <c r="D26" s="136">
        <v>0</v>
      </c>
      <c r="F26" s="83" t="s">
        <v>236</v>
      </c>
      <c r="G26" s="86">
        <f>+G27+G28+G29+G30</f>
        <v>5157</v>
      </c>
      <c r="H26" s="86">
        <f t="shared" ref="H26:I26" si="3">+H27+H28+H29+H30</f>
        <v>144821</v>
      </c>
      <c r="I26" s="86">
        <f t="shared" si="3"/>
        <v>187662</v>
      </c>
    </row>
    <row r="27" spans="1:9" x14ac:dyDescent="0.2">
      <c r="A27" s="28" t="s">
        <v>347</v>
      </c>
      <c r="B27" s="136">
        <v>0</v>
      </c>
      <c r="C27" s="136">
        <v>0</v>
      </c>
      <c r="D27" s="136">
        <v>0</v>
      </c>
      <c r="F27" s="35" t="s">
        <v>237</v>
      </c>
      <c r="G27" s="91">
        <v>0</v>
      </c>
      <c r="H27" s="91">
        <v>0</v>
      </c>
      <c r="I27" s="91">
        <v>0</v>
      </c>
    </row>
    <row r="28" spans="1:9" x14ac:dyDescent="0.2">
      <c r="A28" s="35" t="s">
        <v>348</v>
      </c>
      <c r="B28" s="136">
        <v>0</v>
      </c>
      <c r="C28" s="136">
        <v>40950</v>
      </c>
      <c r="D28" s="136">
        <v>0</v>
      </c>
      <c r="F28" s="35" t="s">
        <v>238</v>
      </c>
      <c r="G28" s="91">
        <v>0</v>
      </c>
      <c r="H28" s="91">
        <v>0</v>
      </c>
      <c r="I28" s="91">
        <v>0</v>
      </c>
    </row>
    <row r="29" spans="1:9" x14ac:dyDescent="0.2">
      <c r="A29" s="35" t="s">
        <v>280</v>
      </c>
      <c r="B29" s="71">
        <f>SUM(B30:B34)</f>
        <v>40950</v>
      </c>
      <c r="C29" s="71">
        <f t="shared" ref="C29:D29" si="4">SUM(C30:C34)</f>
        <v>0</v>
      </c>
      <c r="D29" s="71">
        <f t="shared" si="4"/>
        <v>60000</v>
      </c>
      <c r="F29" s="35" t="s">
        <v>368</v>
      </c>
      <c r="G29" s="91">
        <v>0</v>
      </c>
      <c r="H29" s="91">
        <v>0</v>
      </c>
      <c r="I29" s="91">
        <v>0</v>
      </c>
    </row>
    <row r="30" spans="1:9" x14ac:dyDescent="0.2">
      <c r="A30" s="35" t="s">
        <v>349</v>
      </c>
      <c r="B30" s="136">
        <v>0</v>
      </c>
      <c r="C30" s="136">
        <v>0</v>
      </c>
      <c r="D30" s="136">
        <v>0</v>
      </c>
      <c r="F30" s="35" t="s">
        <v>367</v>
      </c>
      <c r="G30" s="91">
        <v>5157</v>
      </c>
      <c r="H30" s="91">
        <v>144821</v>
      </c>
      <c r="I30" s="91">
        <v>187662</v>
      </c>
    </row>
    <row r="31" spans="1:9" x14ac:dyDescent="0.2">
      <c r="A31" s="35" t="s">
        <v>350</v>
      </c>
      <c r="B31" s="136">
        <v>0</v>
      </c>
      <c r="C31" s="136">
        <v>0</v>
      </c>
      <c r="D31" s="136">
        <v>0</v>
      </c>
    </row>
    <row r="32" spans="1:9" x14ac:dyDescent="0.2">
      <c r="A32" s="35" t="s">
        <v>351</v>
      </c>
      <c r="B32" s="136">
        <v>0</v>
      </c>
      <c r="C32" s="136">
        <v>0</v>
      </c>
      <c r="D32" s="136">
        <v>0</v>
      </c>
      <c r="F32" s="83" t="s">
        <v>239</v>
      </c>
      <c r="G32" s="86">
        <f>+G33</f>
        <v>0</v>
      </c>
      <c r="H32" s="86">
        <f>+H33</f>
        <v>0</v>
      </c>
      <c r="I32" s="86">
        <f>+I33</f>
        <v>0</v>
      </c>
    </row>
    <row r="33" spans="1:9" x14ac:dyDescent="0.2">
      <c r="A33" s="28" t="s">
        <v>352</v>
      </c>
      <c r="B33" s="136">
        <v>0</v>
      </c>
      <c r="C33" s="136">
        <v>0</v>
      </c>
      <c r="D33" s="136">
        <v>0</v>
      </c>
      <c r="F33" s="35" t="s">
        <v>318</v>
      </c>
      <c r="G33" s="91">
        <v>0</v>
      </c>
      <c r="H33" s="91">
        <v>0</v>
      </c>
      <c r="I33" s="91">
        <v>0</v>
      </c>
    </row>
    <row r="34" spans="1:9" x14ac:dyDescent="0.2">
      <c r="A34" s="35" t="s">
        <v>353</v>
      </c>
      <c r="B34" s="136">
        <v>40950</v>
      </c>
      <c r="C34" s="136">
        <v>0</v>
      </c>
      <c r="D34" s="136">
        <v>60000</v>
      </c>
      <c r="F34" s="69"/>
      <c r="G34" s="73"/>
      <c r="H34" s="73"/>
      <c r="I34" s="73"/>
    </row>
    <row r="35" spans="1:9" x14ac:dyDescent="0.2">
      <c r="A35" s="35" t="s">
        <v>210</v>
      </c>
      <c r="B35" s="136">
        <v>0</v>
      </c>
      <c r="C35" s="136">
        <v>0</v>
      </c>
      <c r="D35" s="136">
        <v>0</v>
      </c>
      <c r="F35" s="83" t="s">
        <v>240</v>
      </c>
      <c r="G35" s="86">
        <f>+G69+G66+G63+G60+G57+G54+G51+G48+G45+G42+G39+G36</f>
        <v>7491702</v>
      </c>
      <c r="H35" s="86">
        <f>+H69+H66+H63+H60+H57+H54+H51+H48+H45+H42+H39+H36</f>
        <v>10494034</v>
      </c>
      <c r="I35" s="86">
        <f>+I69+I66+I63+I60+I57+I54+I51+I48+I45+I42+I39+I36</f>
        <v>6457238</v>
      </c>
    </row>
    <row r="36" spans="1:9" x14ac:dyDescent="0.2">
      <c r="A36" s="28" t="s">
        <v>354</v>
      </c>
      <c r="B36" s="136">
        <v>0</v>
      </c>
      <c r="C36" s="136">
        <v>0</v>
      </c>
      <c r="D36" s="136">
        <v>0</v>
      </c>
      <c r="F36" s="35" t="s">
        <v>319</v>
      </c>
      <c r="G36" s="73">
        <f>+G37+G38</f>
        <v>0</v>
      </c>
      <c r="H36" s="73">
        <f>+H37+H38</f>
        <v>0</v>
      </c>
      <c r="I36" s="73">
        <f>+I37+I38</f>
        <v>0</v>
      </c>
    </row>
    <row r="37" spans="1:9" x14ac:dyDescent="0.2">
      <c r="F37" s="70" t="s">
        <v>220</v>
      </c>
      <c r="G37" s="91">
        <v>0</v>
      </c>
      <c r="H37" s="91">
        <v>0</v>
      </c>
      <c r="I37" s="91">
        <v>0</v>
      </c>
    </row>
    <row r="38" spans="1:9" x14ac:dyDescent="0.2">
      <c r="A38" s="83" t="s">
        <v>211</v>
      </c>
      <c r="B38" s="84">
        <f>B39+B45+B65+B74</f>
        <v>8470190</v>
      </c>
      <c r="C38" s="84">
        <f>C39+C45+C65+C74</f>
        <v>12321703</v>
      </c>
      <c r="D38" s="84">
        <f>D39+D45+D65+D74</f>
        <v>8363428</v>
      </c>
      <c r="F38" s="70" t="s">
        <v>221</v>
      </c>
      <c r="G38" s="91">
        <v>0</v>
      </c>
      <c r="H38" s="91">
        <v>0</v>
      </c>
      <c r="I38" s="91">
        <v>0</v>
      </c>
    </row>
    <row r="39" spans="1:9" x14ac:dyDescent="0.2">
      <c r="A39" s="69" t="s">
        <v>212</v>
      </c>
      <c r="B39" s="72">
        <f>SUM(B40:B44)</f>
        <v>1943708</v>
      </c>
      <c r="C39" s="72">
        <f>SUM(C40:C44)</f>
        <v>4786515</v>
      </c>
      <c r="D39" s="72">
        <f>SUM(D40:D44)</f>
        <v>2217839</v>
      </c>
      <c r="F39" s="35" t="s">
        <v>241</v>
      </c>
      <c r="G39" s="73">
        <f>+G40+G41</f>
        <v>0</v>
      </c>
      <c r="H39" s="73">
        <f>+H40+H41</f>
        <v>0</v>
      </c>
      <c r="I39" s="73">
        <f>+I40+I41</f>
        <v>0</v>
      </c>
    </row>
    <row r="40" spans="1:9" x14ac:dyDescent="0.2">
      <c r="A40" s="35" t="s">
        <v>213</v>
      </c>
      <c r="B40" s="136">
        <v>1943708</v>
      </c>
      <c r="C40" s="136">
        <v>4786515</v>
      </c>
      <c r="D40" s="136">
        <v>2217839</v>
      </c>
      <c r="F40" s="70" t="s">
        <v>220</v>
      </c>
      <c r="G40" s="91">
        <v>0</v>
      </c>
      <c r="H40" s="91">
        <v>0</v>
      </c>
      <c r="I40" s="91">
        <v>0</v>
      </c>
    </row>
    <row r="41" spans="1:9" x14ac:dyDescent="0.2">
      <c r="A41" s="35" t="s">
        <v>214</v>
      </c>
      <c r="B41" s="90"/>
      <c r="C41" s="90"/>
      <c r="D41" s="90"/>
      <c r="F41" s="70" t="s">
        <v>221</v>
      </c>
      <c r="G41" s="91">
        <v>0</v>
      </c>
      <c r="H41" s="91">
        <v>0</v>
      </c>
      <c r="I41" s="91">
        <v>0</v>
      </c>
    </row>
    <row r="42" spans="1:9" x14ac:dyDescent="0.2">
      <c r="A42" s="35" t="s">
        <v>215</v>
      </c>
      <c r="B42" s="90"/>
      <c r="C42" s="90"/>
      <c r="D42" s="90"/>
      <c r="F42" s="35" t="s">
        <v>289</v>
      </c>
      <c r="G42" s="73">
        <f>+G43+G44</f>
        <v>41257</v>
      </c>
      <c r="H42" s="73">
        <f>+H43+H44</f>
        <v>45235</v>
      </c>
      <c r="I42" s="73">
        <f>+I43+I44</f>
        <v>0</v>
      </c>
    </row>
    <row r="43" spans="1:9" x14ac:dyDescent="0.2">
      <c r="A43" s="35" t="s">
        <v>216</v>
      </c>
      <c r="B43" s="90"/>
      <c r="C43" s="90"/>
      <c r="D43" s="90"/>
      <c r="F43" s="70" t="s">
        <v>220</v>
      </c>
      <c r="G43" s="91">
        <v>41257</v>
      </c>
      <c r="H43" s="91">
        <v>45235</v>
      </c>
      <c r="I43" s="91">
        <v>0</v>
      </c>
    </row>
    <row r="44" spans="1:9" x14ac:dyDescent="0.2">
      <c r="A44" s="35" t="s">
        <v>217</v>
      </c>
      <c r="B44" s="90"/>
      <c r="C44" s="90"/>
      <c r="D44" s="90"/>
      <c r="F44" s="70" t="s">
        <v>221</v>
      </c>
      <c r="G44" s="91">
        <v>0</v>
      </c>
      <c r="H44" s="91">
        <v>0</v>
      </c>
      <c r="I44" s="91">
        <v>0</v>
      </c>
    </row>
    <row r="45" spans="1:9" x14ac:dyDescent="0.2">
      <c r="A45" s="69" t="s">
        <v>218</v>
      </c>
      <c r="B45" s="72">
        <f>+B46+B49+B52+B56+B59+B62+B55</f>
        <v>6523065</v>
      </c>
      <c r="C45" s="72">
        <f t="shared" ref="C45:D45" si="5">+C46+C49+C52+C56+C59+C62+C55</f>
        <v>7534153</v>
      </c>
      <c r="D45" s="72">
        <f t="shared" si="5"/>
        <v>6144911</v>
      </c>
      <c r="F45" s="35" t="s">
        <v>242</v>
      </c>
      <c r="G45" s="73">
        <f>+G46+G47</f>
        <v>0</v>
      </c>
      <c r="H45" s="73">
        <f>+H46+H47</f>
        <v>0</v>
      </c>
      <c r="I45" s="73">
        <f>+I46+I47</f>
        <v>0</v>
      </c>
    </row>
    <row r="46" spans="1:9" x14ac:dyDescent="0.2">
      <c r="A46" s="35" t="s">
        <v>281</v>
      </c>
      <c r="B46" s="71">
        <f>+B47+B48</f>
        <v>4863670</v>
      </c>
      <c r="C46" s="71">
        <f>+C47+C48</f>
        <v>3807378</v>
      </c>
      <c r="D46" s="71">
        <f>+D47+D48</f>
        <v>3808801</v>
      </c>
      <c r="F46" s="70" t="s">
        <v>220</v>
      </c>
      <c r="G46" s="91">
        <v>0</v>
      </c>
      <c r="H46" s="91">
        <v>0</v>
      </c>
      <c r="I46" s="91">
        <v>0</v>
      </c>
    </row>
    <row r="47" spans="1:9" x14ac:dyDescent="0.2">
      <c r="A47" s="70" t="s">
        <v>219</v>
      </c>
      <c r="B47" s="136">
        <v>4863670</v>
      </c>
      <c r="C47" s="136">
        <v>3807378</v>
      </c>
      <c r="D47" s="136">
        <v>3808801</v>
      </c>
      <c r="F47" s="70" t="s">
        <v>221</v>
      </c>
      <c r="G47" s="91">
        <v>0</v>
      </c>
      <c r="H47" s="91">
        <v>0</v>
      </c>
      <c r="I47" s="91">
        <v>0</v>
      </c>
    </row>
    <row r="48" spans="1:9" x14ac:dyDescent="0.2">
      <c r="A48" s="70" t="s">
        <v>209</v>
      </c>
      <c r="B48" s="136">
        <v>0</v>
      </c>
      <c r="C48" s="136">
        <v>0</v>
      </c>
      <c r="D48" s="136">
        <v>0</v>
      </c>
      <c r="F48" s="35" t="s">
        <v>243</v>
      </c>
      <c r="G48" s="73">
        <f>+G49+G50</f>
        <v>1676350</v>
      </c>
      <c r="H48" s="73">
        <f>+H49+H50</f>
        <v>487318</v>
      </c>
      <c r="I48" s="73">
        <f>+I49+I50</f>
        <v>488547</v>
      </c>
    </row>
    <row r="49" spans="1:9" x14ac:dyDescent="0.2">
      <c r="A49" s="35" t="s">
        <v>311</v>
      </c>
      <c r="B49" s="71">
        <f>+B50+B51</f>
        <v>1327663</v>
      </c>
      <c r="C49" s="71">
        <f>+C50+C51</f>
        <v>2858485</v>
      </c>
      <c r="D49" s="71">
        <f>+D50+D51</f>
        <v>1996009</v>
      </c>
      <c r="F49" s="70" t="s">
        <v>220</v>
      </c>
      <c r="G49" s="91">
        <v>1676350</v>
      </c>
      <c r="H49" s="91">
        <v>487318</v>
      </c>
      <c r="I49" s="91">
        <v>488547</v>
      </c>
    </row>
    <row r="50" spans="1:9" x14ac:dyDescent="0.2">
      <c r="A50" s="70" t="s">
        <v>219</v>
      </c>
      <c r="B50" s="136">
        <v>1327663</v>
      </c>
      <c r="C50" s="136">
        <v>2858485</v>
      </c>
      <c r="D50" s="136">
        <v>1996009</v>
      </c>
      <c r="F50" s="70" t="s">
        <v>221</v>
      </c>
      <c r="G50" s="91">
        <v>0</v>
      </c>
      <c r="H50" s="91">
        <v>0</v>
      </c>
      <c r="I50" s="91">
        <v>0</v>
      </c>
    </row>
    <row r="51" spans="1:9" x14ac:dyDescent="0.2">
      <c r="A51" s="70" t="s">
        <v>209</v>
      </c>
      <c r="B51" s="136">
        <v>0</v>
      </c>
      <c r="C51" s="136">
        <v>0</v>
      </c>
      <c r="D51" s="136">
        <v>0</v>
      </c>
      <c r="F51" s="35" t="s">
        <v>290</v>
      </c>
      <c r="G51" s="73">
        <f>+G52+G53</f>
        <v>947195</v>
      </c>
      <c r="H51" s="73">
        <f>+H52+H53</f>
        <v>1032244</v>
      </c>
      <c r="I51" s="73">
        <f>+I52+I53</f>
        <v>972098</v>
      </c>
    </row>
    <row r="52" spans="1:9" x14ac:dyDescent="0.2">
      <c r="A52" s="35" t="s">
        <v>312</v>
      </c>
      <c r="B52" s="71">
        <f>+B53+B54</f>
        <v>0</v>
      </c>
      <c r="C52" s="71">
        <f t="shared" ref="C52:D52" si="6">+C53+C54</f>
        <v>0</v>
      </c>
      <c r="D52" s="71">
        <f t="shared" si="6"/>
        <v>0</v>
      </c>
      <c r="F52" s="70" t="s">
        <v>219</v>
      </c>
      <c r="G52" s="91">
        <v>947195</v>
      </c>
      <c r="H52" s="91">
        <v>1032244</v>
      </c>
      <c r="I52" s="91">
        <v>972098</v>
      </c>
    </row>
    <row r="53" spans="1:9" x14ac:dyDescent="0.2">
      <c r="A53" s="70" t="s">
        <v>219</v>
      </c>
      <c r="B53" s="90">
        <v>0</v>
      </c>
      <c r="C53" s="90">
        <v>0</v>
      </c>
      <c r="D53" s="90">
        <v>0</v>
      </c>
      <c r="F53" s="70" t="s">
        <v>209</v>
      </c>
      <c r="G53" s="91">
        <v>0</v>
      </c>
      <c r="H53" s="91">
        <v>0</v>
      </c>
      <c r="I53" s="91">
        <v>0</v>
      </c>
    </row>
    <row r="54" spans="1:9" x14ac:dyDescent="0.2">
      <c r="A54" s="70" t="s">
        <v>209</v>
      </c>
      <c r="B54" s="90"/>
      <c r="C54" s="90"/>
      <c r="D54" s="90"/>
      <c r="F54" s="35" t="s">
        <v>244</v>
      </c>
      <c r="G54" s="73">
        <f>+G55+G56</f>
        <v>0</v>
      </c>
      <c r="H54" s="73">
        <f>+H55+H56</f>
        <v>0</v>
      </c>
      <c r="I54" s="73">
        <f>+I55+I56</f>
        <v>0</v>
      </c>
    </row>
    <row r="55" spans="1:9" x14ac:dyDescent="0.2">
      <c r="A55" s="28" t="s">
        <v>355</v>
      </c>
      <c r="B55" s="90"/>
      <c r="C55" s="90"/>
      <c r="D55" s="90"/>
      <c r="F55" s="70" t="s">
        <v>219</v>
      </c>
      <c r="G55" s="91">
        <v>0</v>
      </c>
      <c r="H55" s="91">
        <v>0</v>
      </c>
      <c r="I55" s="91">
        <v>0</v>
      </c>
    </row>
    <row r="56" spans="1:9" x14ac:dyDescent="0.2">
      <c r="A56" s="35" t="s">
        <v>356</v>
      </c>
      <c r="B56" s="71">
        <f>+B57+B58</f>
        <v>78517</v>
      </c>
      <c r="C56" s="71">
        <f>+C57+C58</f>
        <v>579544</v>
      </c>
      <c r="D56" s="71">
        <f>+D57+D58</f>
        <v>10257</v>
      </c>
      <c r="F56" s="70" t="s">
        <v>209</v>
      </c>
      <c r="G56" s="91">
        <v>0</v>
      </c>
      <c r="H56" s="91">
        <v>0</v>
      </c>
      <c r="I56" s="91">
        <v>0</v>
      </c>
    </row>
    <row r="57" spans="1:9" x14ac:dyDescent="0.2">
      <c r="A57" s="70" t="s">
        <v>219</v>
      </c>
      <c r="B57" s="136">
        <v>78517</v>
      </c>
      <c r="C57" s="136">
        <v>579544</v>
      </c>
      <c r="D57" s="136">
        <v>10257</v>
      </c>
      <c r="F57" s="35" t="s">
        <v>369</v>
      </c>
      <c r="G57" s="73">
        <f>+G58+G59</f>
        <v>4193285</v>
      </c>
      <c r="H57" s="73">
        <f>+H58+H59</f>
        <v>8306699</v>
      </c>
      <c r="I57" s="73">
        <f>+I58+I59</f>
        <v>4233159</v>
      </c>
    </row>
    <row r="58" spans="1:9" x14ac:dyDescent="0.2">
      <c r="A58" s="70" t="s">
        <v>209</v>
      </c>
      <c r="B58" s="136">
        <v>0</v>
      </c>
      <c r="C58" s="136">
        <v>0</v>
      </c>
      <c r="D58" s="136">
        <v>0</v>
      </c>
      <c r="F58" s="70" t="s">
        <v>219</v>
      </c>
      <c r="G58" s="91">
        <v>4193285</v>
      </c>
      <c r="H58" s="91">
        <v>8306699</v>
      </c>
      <c r="I58" s="91">
        <v>4233159</v>
      </c>
    </row>
    <row r="59" spans="1:9" x14ac:dyDescent="0.2">
      <c r="A59" s="35" t="s">
        <v>357</v>
      </c>
      <c r="B59" s="71">
        <f>+B60+B61</f>
        <v>245670</v>
      </c>
      <c r="C59" s="71">
        <f>+C60+C61</f>
        <v>276152</v>
      </c>
      <c r="D59" s="71">
        <f>+D60+D61</f>
        <v>296791</v>
      </c>
      <c r="F59" s="70" t="s">
        <v>209</v>
      </c>
      <c r="G59" s="91"/>
      <c r="H59" s="91"/>
      <c r="I59" s="91"/>
    </row>
    <row r="60" spans="1:9" x14ac:dyDescent="0.2">
      <c r="A60" s="70" t="s">
        <v>219</v>
      </c>
      <c r="B60" s="136">
        <v>245670</v>
      </c>
      <c r="C60" s="136">
        <v>276152</v>
      </c>
      <c r="D60" s="136">
        <v>296791</v>
      </c>
      <c r="F60" s="35" t="s">
        <v>372</v>
      </c>
      <c r="G60" s="73">
        <f>+G61+G62</f>
        <v>0</v>
      </c>
      <c r="H60" s="73">
        <f>+H61+H62</f>
        <v>0</v>
      </c>
      <c r="I60" s="73">
        <f>+I61+I62</f>
        <v>0</v>
      </c>
    </row>
    <row r="61" spans="1:9" x14ac:dyDescent="0.2">
      <c r="A61" s="70" t="s">
        <v>209</v>
      </c>
      <c r="B61" s="136">
        <v>0</v>
      </c>
      <c r="C61" s="136">
        <v>0</v>
      </c>
      <c r="D61" s="136">
        <v>0</v>
      </c>
      <c r="F61" s="70" t="s">
        <v>219</v>
      </c>
      <c r="G61" s="91">
        <v>0</v>
      </c>
      <c r="H61" s="91">
        <v>0</v>
      </c>
      <c r="I61" s="91">
        <v>0</v>
      </c>
    </row>
    <row r="62" spans="1:9" x14ac:dyDescent="0.2">
      <c r="A62" s="35" t="s">
        <v>358</v>
      </c>
      <c r="B62" s="71">
        <f>+B63+B64</f>
        <v>7545</v>
      </c>
      <c r="C62" s="71">
        <f>+C63+C64</f>
        <v>12594</v>
      </c>
      <c r="D62" s="71">
        <f>+D63+D64</f>
        <v>33053</v>
      </c>
      <c r="F62" s="70" t="s">
        <v>209</v>
      </c>
      <c r="G62" s="91">
        <v>0</v>
      </c>
      <c r="H62" s="91">
        <v>0</v>
      </c>
      <c r="I62" s="91">
        <v>0</v>
      </c>
    </row>
    <row r="63" spans="1:9" x14ac:dyDescent="0.2">
      <c r="A63" s="70" t="s">
        <v>220</v>
      </c>
      <c r="B63" s="136">
        <v>7545</v>
      </c>
      <c r="C63" s="136">
        <v>12594</v>
      </c>
      <c r="D63" s="136">
        <v>33053</v>
      </c>
      <c r="F63" s="35" t="s">
        <v>291</v>
      </c>
      <c r="G63" s="73">
        <f>+G64+G65</f>
        <v>91186</v>
      </c>
      <c r="H63" s="73">
        <f>+H64+H65</f>
        <v>94968</v>
      </c>
      <c r="I63" s="73">
        <f>+I64+I65</f>
        <v>263495</v>
      </c>
    </row>
    <row r="64" spans="1:9" x14ac:dyDescent="0.2">
      <c r="A64" s="70" t="s">
        <v>221</v>
      </c>
      <c r="B64" s="136">
        <v>0</v>
      </c>
      <c r="C64" s="136">
        <v>0</v>
      </c>
      <c r="D64" s="136">
        <v>0</v>
      </c>
      <c r="F64" s="70" t="s">
        <v>219</v>
      </c>
      <c r="G64" s="91">
        <v>91186</v>
      </c>
      <c r="H64" s="91">
        <v>94968</v>
      </c>
      <c r="I64" s="91">
        <v>263495</v>
      </c>
    </row>
    <row r="65" spans="1:12" x14ac:dyDescent="0.2">
      <c r="A65" s="69" t="s">
        <v>222</v>
      </c>
      <c r="B65" s="72">
        <f>SUM(B66:B73)</f>
        <v>0</v>
      </c>
      <c r="C65" s="72">
        <f t="shared" ref="C65:D65" si="7">SUM(C66:C73)</f>
        <v>0</v>
      </c>
      <c r="D65" s="72">
        <f t="shared" si="7"/>
        <v>0</v>
      </c>
      <c r="F65" s="70" t="s">
        <v>209</v>
      </c>
      <c r="G65" s="91">
        <v>0</v>
      </c>
      <c r="H65" s="91">
        <v>0</v>
      </c>
      <c r="I65" s="91">
        <v>0</v>
      </c>
    </row>
    <row r="66" spans="1:12" x14ac:dyDescent="0.2">
      <c r="A66" s="35" t="s">
        <v>223</v>
      </c>
      <c r="B66" s="136">
        <v>0</v>
      </c>
      <c r="C66" s="136">
        <v>0</v>
      </c>
      <c r="D66" s="136">
        <v>0</v>
      </c>
      <c r="F66" s="35" t="s">
        <v>292</v>
      </c>
      <c r="G66" s="73">
        <f>+G67+G68</f>
        <v>128320</v>
      </c>
      <c r="H66" s="73">
        <f>+H67+H68</f>
        <v>134317</v>
      </c>
      <c r="I66" s="73">
        <f>+I67+I68</f>
        <v>141088</v>
      </c>
    </row>
    <row r="67" spans="1:12" x14ac:dyDescent="0.2">
      <c r="A67" s="35" t="s">
        <v>224</v>
      </c>
      <c r="B67" s="136">
        <v>0</v>
      </c>
      <c r="C67" s="136">
        <v>0</v>
      </c>
      <c r="D67" s="136">
        <v>0</v>
      </c>
      <c r="F67" s="70" t="s">
        <v>219</v>
      </c>
      <c r="G67" s="91">
        <v>128320</v>
      </c>
      <c r="H67" s="91">
        <v>134317</v>
      </c>
      <c r="I67" s="91">
        <v>141088</v>
      </c>
    </row>
    <row r="68" spans="1:12" x14ac:dyDescent="0.2">
      <c r="A68" s="35" t="s">
        <v>225</v>
      </c>
      <c r="B68" s="136">
        <v>0</v>
      </c>
      <c r="C68" s="136">
        <v>0</v>
      </c>
      <c r="D68" s="136">
        <v>0</v>
      </c>
      <c r="F68" s="70" t="s">
        <v>209</v>
      </c>
      <c r="G68" s="91">
        <v>0</v>
      </c>
      <c r="H68" s="91">
        <v>0</v>
      </c>
      <c r="I68" s="91">
        <v>0</v>
      </c>
      <c r="K68" s="28" t="s">
        <v>370</v>
      </c>
      <c r="L68" s="28" t="s">
        <v>371</v>
      </c>
    </row>
    <row r="69" spans="1:12" x14ac:dyDescent="0.2">
      <c r="A69" s="28" t="s">
        <v>359</v>
      </c>
      <c r="B69" s="136">
        <v>0</v>
      </c>
      <c r="C69" s="136">
        <v>0</v>
      </c>
      <c r="D69" s="136">
        <v>0</v>
      </c>
      <c r="F69" s="35" t="s">
        <v>245</v>
      </c>
      <c r="G69" s="73">
        <f>+G70+G71</f>
        <v>414109</v>
      </c>
      <c r="H69" s="73">
        <f>+H70+H71</f>
        <v>393253</v>
      </c>
      <c r="I69" s="73">
        <f>+I70+I71</f>
        <v>358851</v>
      </c>
    </row>
    <row r="70" spans="1:12" x14ac:dyDescent="0.2">
      <c r="A70" s="35" t="s">
        <v>226</v>
      </c>
      <c r="B70" s="136">
        <v>0</v>
      </c>
      <c r="C70" s="136">
        <v>0</v>
      </c>
      <c r="D70" s="136">
        <v>0</v>
      </c>
      <c r="F70" s="70" t="s">
        <v>219</v>
      </c>
      <c r="G70" s="91">
        <v>414109</v>
      </c>
      <c r="H70" s="91">
        <v>393253</v>
      </c>
      <c r="I70" s="91">
        <v>358851</v>
      </c>
    </row>
    <row r="71" spans="1:12" x14ac:dyDescent="0.2">
      <c r="A71" s="28" t="s">
        <v>360</v>
      </c>
      <c r="B71" s="136">
        <v>0</v>
      </c>
      <c r="C71" s="136">
        <v>0</v>
      </c>
      <c r="D71" s="136">
        <v>0</v>
      </c>
      <c r="F71" s="70" t="s">
        <v>209</v>
      </c>
      <c r="G71" s="91">
        <v>0</v>
      </c>
      <c r="H71" s="91">
        <v>0</v>
      </c>
      <c r="I71" s="91">
        <v>0</v>
      </c>
    </row>
    <row r="72" spans="1:12" x14ac:dyDescent="0.2">
      <c r="A72" s="35" t="s">
        <v>227</v>
      </c>
      <c r="B72" s="136">
        <v>0</v>
      </c>
      <c r="C72" s="136">
        <v>0</v>
      </c>
      <c r="D72" s="136">
        <v>0</v>
      </c>
    </row>
    <row r="73" spans="1:12" x14ac:dyDescent="0.2">
      <c r="A73" s="35" t="s">
        <v>385</v>
      </c>
      <c r="B73" s="136">
        <v>0</v>
      </c>
      <c r="C73" s="136">
        <v>0</v>
      </c>
      <c r="D73" s="136">
        <v>0</v>
      </c>
    </row>
    <row r="74" spans="1:12" x14ac:dyDescent="0.2">
      <c r="A74" s="69" t="s">
        <v>228</v>
      </c>
      <c r="B74" s="72">
        <f>SUM(B75:B77)</f>
        <v>3417</v>
      </c>
      <c r="C74" s="72">
        <f>SUM(C75:C77)</f>
        <v>1035</v>
      </c>
      <c r="D74" s="72">
        <f>SUM(D75:D77)</f>
        <v>678</v>
      </c>
      <c r="E74" s="71"/>
      <c r="F74" s="83" t="s">
        <v>246</v>
      </c>
      <c r="G74" s="86">
        <f>+G75+G76</f>
        <v>71459</v>
      </c>
      <c r="H74" s="86">
        <f>+H75+H76</f>
        <v>42554</v>
      </c>
      <c r="I74" s="86">
        <f>+I75+I76</f>
        <v>20848</v>
      </c>
    </row>
    <row r="75" spans="1:12" x14ac:dyDescent="0.2">
      <c r="A75" s="35" t="s">
        <v>229</v>
      </c>
      <c r="B75" s="136">
        <v>0</v>
      </c>
      <c r="C75" s="136">
        <v>1035</v>
      </c>
      <c r="D75" s="136">
        <v>0</v>
      </c>
      <c r="E75" s="71"/>
      <c r="F75" s="35" t="s">
        <v>304</v>
      </c>
      <c r="G75" s="91">
        <v>71459</v>
      </c>
      <c r="H75" s="91">
        <v>42554</v>
      </c>
      <c r="I75" s="91">
        <v>20848</v>
      </c>
    </row>
    <row r="76" spans="1:12" x14ac:dyDescent="0.2">
      <c r="A76" s="35" t="s">
        <v>230</v>
      </c>
      <c r="B76" s="136">
        <v>0</v>
      </c>
      <c r="C76" s="136">
        <v>0</v>
      </c>
      <c r="D76" s="136">
        <v>0</v>
      </c>
      <c r="F76" s="35" t="s">
        <v>322</v>
      </c>
      <c r="G76" s="91"/>
      <c r="H76" s="91"/>
      <c r="I76" s="91"/>
    </row>
    <row r="77" spans="1:12" x14ac:dyDescent="0.2">
      <c r="A77" s="35" t="s">
        <v>231</v>
      </c>
      <c r="B77" s="136">
        <v>3417</v>
      </c>
      <c r="C77" s="136">
        <v>0</v>
      </c>
      <c r="D77" s="136">
        <v>678</v>
      </c>
    </row>
    <row r="78" spans="1:12" x14ac:dyDescent="0.2">
      <c r="F78" s="81" t="s">
        <v>247</v>
      </c>
      <c r="G78" s="82">
        <f>G3+G26+G32+G74+G35</f>
        <v>10259901</v>
      </c>
      <c r="H78" s="82">
        <f>H3+H26+H32+H74+H35</f>
        <v>14385547</v>
      </c>
      <c r="I78" s="82">
        <f>I3+I26+I32+I74+I35</f>
        <v>11002446</v>
      </c>
    </row>
    <row r="79" spans="1:12" ht="13.5" thickBot="1" x14ac:dyDescent="0.25">
      <c r="A79" s="83" t="s">
        <v>308</v>
      </c>
      <c r="B79" s="85">
        <f>SUM(B80:B82)</f>
        <v>28021</v>
      </c>
      <c r="C79" s="85">
        <f>SUM(C80:C82)</f>
        <v>23190</v>
      </c>
      <c r="D79" s="85">
        <f>SUM(D80:D82)</f>
        <v>27136</v>
      </c>
    </row>
    <row r="80" spans="1:12" ht="13.5" thickBot="1" x14ac:dyDescent="0.25">
      <c r="A80" s="35" t="s">
        <v>304</v>
      </c>
      <c r="B80" s="136">
        <v>28021</v>
      </c>
      <c r="C80" s="136">
        <v>23190</v>
      </c>
      <c r="D80" s="136">
        <v>27136</v>
      </c>
      <c r="F80" s="131" t="s">
        <v>123</v>
      </c>
      <c r="G80" s="132">
        <f>+G78-B84</f>
        <v>0</v>
      </c>
      <c r="H80" s="132">
        <f>+H78-C84</f>
        <v>0</v>
      </c>
      <c r="I80" s="133">
        <f>+I78-D84</f>
        <v>0</v>
      </c>
    </row>
    <row r="81" spans="1:9" x14ac:dyDescent="0.2">
      <c r="A81" s="35" t="s">
        <v>305</v>
      </c>
      <c r="B81" s="90"/>
      <c r="C81" s="90"/>
      <c r="D81" s="90"/>
    </row>
    <row r="82" spans="1:9" x14ac:dyDescent="0.2">
      <c r="A82" s="35" t="s">
        <v>306</v>
      </c>
      <c r="B82" s="90"/>
      <c r="C82" s="90"/>
      <c r="D82" s="90"/>
    </row>
    <row r="84" spans="1:9" x14ac:dyDescent="0.2">
      <c r="A84" s="79" t="s">
        <v>232</v>
      </c>
      <c r="B84" s="80">
        <f>B3+B7+B38+B79</f>
        <v>10259901</v>
      </c>
      <c r="C84" s="80">
        <f>C3+C7+C38+C79</f>
        <v>14385547</v>
      </c>
      <c r="D84" s="80">
        <f>D3+D7+D38+D79</f>
        <v>11002446</v>
      </c>
    </row>
    <row r="90" spans="1:9" x14ac:dyDescent="0.2">
      <c r="A90" s="88" t="s">
        <v>279</v>
      </c>
      <c r="B90" s="89">
        <f>+B1</f>
        <v>2022</v>
      </c>
      <c r="C90" s="89">
        <f>+C1</f>
        <v>2023</v>
      </c>
      <c r="D90" s="89">
        <f>+D1</f>
        <v>2024</v>
      </c>
    </row>
    <row r="91" spans="1:9" x14ac:dyDescent="0.2">
      <c r="A91" s="92"/>
      <c r="B91" s="93"/>
      <c r="C91" s="93"/>
      <c r="D91" s="93"/>
    </row>
    <row r="92" spans="1:9" x14ac:dyDescent="0.2">
      <c r="A92" s="83" t="s">
        <v>248</v>
      </c>
      <c r="B92" s="85">
        <f>+B93+B94+B95+B96+B97</f>
        <v>21197167</v>
      </c>
      <c r="C92" s="85">
        <f t="shared" ref="C92" si="8">+C93+C94+C95+C96+C97</f>
        <v>23058458</v>
      </c>
      <c r="D92" s="85">
        <f>+D93+D94+D95+D96+D97</f>
        <v>20867544</v>
      </c>
    </row>
    <row r="93" spans="1:9" x14ac:dyDescent="0.2">
      <c r="A93" s="35" t="s">
        <v>249</v>
      </c>
      <c r="B93" s="91">
        <v>20727579</v>
      </c>
      <c r="C93" s="91">
        <v>22640669</v>
      </c>
      <c r="D93" s="91">
        <v>20375419</v>
      </c>
    </row>
    <row r="94" spans="1:9" x14ac:dyDescent="0.2">
      <c r="A94" s="35" t="s">
        <v>339</v>
      </c>
      <c r="B94" s="91">
        <v>0</v>
      </c>
      <c r="C94" s="91">
        <v>0</v>
      </c>
      <c r="D94" s="91">
        <v>0</v>
      </c>
    </row>
    <row r="95" spans="1:9" x14ac:dyDescent="0.2">
      <c r="A95" s="35" t="s">
        <v>250</v>
      </c>
      <c r="B95" s="91"/>
      <c r="C95" s="91"/>
      <c r="D95" s="91"/>
    </row>
    <row r="96" spans="1:9" x14ac:dyDescent="0.2">
      <c r="A96" s="35" t="s">
        <v>251</v>
      </c>
      <c r="B96" s="91">
        <v>0</v>
      </c>
      <c r="C96" s="91">
        <v>0</v>
      </c>
      <c r="D96" s="91">
        <v>0</v>
      </c>
      <c r="F96" s="92"/>
      <c r="G96" s="93"/>
      <c r="H96" s="93"/>
      <c r="I96" s="93"/>
    </row>
    <row r="97" spans="1:9" x14ac:dyDescent="0.2">
      <c r="A97" s="35" t="s">
        <v>294</v>
      </c>
      <c r="B97" s="91">
        <v>469588</v>
      </c>
      <c r="C97" s="91">
        <v>417789</v>
      </c>
      <c r="D97" s="91">
        <v>492125</v>
      </c>
      <c r="F97" s="78"/>
      <c r="G97" s="75"/>
      <c r="H97" s="75"/>
      <c r="I97" s="75"/>
    </row>
    <row r="98" spans="1:9" x14ac:dyDescent="0.2">
      <c r="A98" s="35"/>
    </row>
    <row r="99" spans="1:9" x14ac:dyDescent="0.2">
      <c r="A99" s="83" t="s">
        <v>252</v>
      </c>
      <c r="B99" s="86">
        <f>+B100+B101+B102+B103+B109+B114+B115+B116+B117</f>
        <v>20435752</v>
      </c>
      <c r="C99" s="86">
        <f>+C100+C101+C102+C103+C109+C114+C115+C116+C117</f>
        <v>21557999</v>
      </c>
      <c r="D99" s="86">
        <f>+D100+D101+D102+D103+D109+D114+D115+D116+D117</f>
        <v>19916521</v>
      </c>
    </row>
    <row r="100" spans="1:9" x14ac:dyDescent="0.2">
      <c r="A100" s="35" t="s">
        <v>253</v>
      </c>
      <c r="B100" s="91">
        <v>15717452</v>
      </c>
      <c r="C100" s="91">
        <v>19371832</v>
      </c>
      <c r="D100" s="91">
        <v>11824508</v>
      </c>
    </row>
    <row r="101" spans="1:9" x14ac:dyDescent="0.2">
      <c r="A101" s="35" t="s">
        <v>254</v>
      </c>
      <c r="B101" s="91">
        <v>1073498</v>
      </c>
      <c r="C101" s="91">
        <v>1134463</v>
      </c>
      <c r="D101" s="91">
        <v>1169802</v>
      </c>
    </row>
    <row r="102" spans="1:9" x14ac:dyDescent="0.2">
      <c r="A102" s="35" t="s">
        <v>255</v>
      </c>
      <c r="B102" s="91">
        <v>540135</v>
      </c>
      <c r="C102" s="91">
        <v>555118</v>
      </c>
      <c r="D102" s="91">
        <v>635922</v>
      </c>
    </row>
    <row r="103" spans="1:9" x14ac:dyDescent="0.2">
      <c r="A103" s="35" t="s">
        <v>295</v>
      </c>
      <c r="B103" s="74">
        <f>+B104+B105+B106+B107+B108</f>
        <v>2346318</v>
      </c>
      <c r="C103" s="74">
        <f>+C104+C105+C106+C107+C108</f>
        <v>2420881</v>
      </c>
      <c r="D103" s="74">
        <f>+D104+D105+D106+D107+D108</f>
        <v>2747028</v>
      </c>
    </row>
    <row r="104" spans="1:9" s="35" customFormat="1" x14ac:dyDescent="0.2">
      <c r="A104" s="35" t="s">
        <v>256</v>
      </c>
      <c r="B104" s="91">
        <v>2346318</v>
      </c>
      <c r="C104" s="91">
        <v>2420881</v>
      </c>
      <c r="D104" s="91">
        <v>2747028</v>
      </c>
      <c r="F104" s="27"/>
      <c r="G104" s="27"/>
      <c r="H104" s="27"/>
      <c r="I104" s="27"/>
    </row>
    <row r="105" spans="1:9" s="35" customFormat="1" x14ac:dyDescent="0.2">
      <c r="A105" s="35" t="s">
        <v>257</v>
      </c>
      <c r="B105" s="91"/>
      <c r="C105" s="91"/>
      <c r="D105" s="91"/>
    </row>
    <row r="106" spans="1:9" s="35" customFormat="1" x14ac:dyDescent="0.2">
      <c r="A106" s="35" t="s">
        <v>258</v>
      </c>
      <c r="B106" s="91"/>
      <c r="C106" s="91"/>
      <c r="D106" s="91"/>
      <c r="F106" s="27"/>
      <c r="G106" s="27"/>
      <c r="H106" s="27"/>
      <c r="I106" s="27"/>
    </row>
    <row r="107" spans="1:9" s="35" customFormat="1" x14ac:dyDescent="0.2">
      <c r="A107" s="35" t="s">
        <v>259</v>
      </c>
      <c r="B107" s="91"/>
      <c r="C107" s="91"/>
      <c r="D107" s="91"/>
      <c r="F107" s="27"/>
      <c r="G107" s="27"/>
      <c r="H107" s="27"/>
      <c r="I107" s="27"/>
    </row>
    <row r="108" spans="1:9" s="35" customFormat="1" x14ac:dyDescent="0.2">
      <c r="A108" s="35" t="s">
        <v>260</v>
      </c>
      <c r="B108" s="91"/>
      <c r="C108" s="91"/>
      <c r="D108" s="91"/>
    </row>
    <row r="109" spans="1:9" s="35" customFormat="1" x14ac:dyDescent="0.2">
      <c r="A109" s="35" t="s">
        <v>296</v>
      </c>
      <c r="B109" s="87">
        <f>+B110+B111+B112+B113</f>
        <v>844277</v>
      </c>
      <c r="C109" s="87">
        <f>+C110+C111+C112+C113</f>
        <v>745213</v>
      </c>
      <c r="D109" s="87">
        <f>+D110+D111+D112+D113</f>
        <v>773789</v>
      </c>
    </row>
    <row r="110" spans="1:9" s="35" customFormat="1" x14ac:dyDescent="0.2">
      <c r="A110" s="35" t="s">
        <v>261</v>
      </c>
      <c r="B110" s="91">
        <v>7471</v>
      </c>
      <c r="C110" s="91">
        <v>7176</v>
      </c>
      <c r="D110" s="91">
        <v>6085</v>
      </c>
    </row>
    <row r="111" spans="1:9" s="35" customFormat="1" x14ac:dyDescent="0.2">
      <c r="A111" s="35" t="s">
        <v>262</v>
      </c>
      <c r="B111" s="91">
        <v>748679</v>
      </c>
      <c r="C111" s="91">
        <v>681909</v>
      </c>
      <c r="D111" s="91">
        <v>762648</v>
      </c>
    </row>
    <row r="112" spans="1:9" s="35" customFormat="1" x14ac:dyDescent="0.2">
      <c r="A112" s="35" t="s">
        <v>263</v>
      </c>
      <c r="B112" s="91">
        <v>0</v>
      </c>
      <c r="C112" s="91">
        <v>0</v>
      </c>
      <c r="D112" s="91">
        <v>0</v>
      </c>
    </row>
    <row r="113" spans="1:4" s="35" customFormat="1" x14ac:dyDescent="0.2">
      <c r="A113" s="35" t="s">
        <v>324</v>
      </c>
      <c r="B113" s="91">
        <v>88127</v>
      </c>
      <c r="C113" s="91">
        <v>56128</v>
      </c>
      <c r="D113" s="91">
        <v>5056</v>
      </c>
    </row>
    <row r="114" spans="1:4" s="35" customFormat="1" x14ac:dyDescent="0.2">
      <c r="A114" s="35" t="s">
        <v>323</v>
      </c>
      <c r="B114" s="91">
        <v>-104890</v>
      </c>
      <c r="C114" s="91">
        <v>-2834256</v>
      </c>
      <c r="D114" s="91">
        <v>2552477</v>
      </c>
    </row>
    <row r="115" spans="1:4" s="35" customFormat="1" x14ac:dyDescent="0.2">
      <c r="A115" s="35" t="s">
        <v>264</v>
      </c>
      <c r="B115" s="91">
        <v>0</v>
      </c>
      <c r="C115" s="91">
        <v>102000</v>
      </c>
      <c r="D115" s="91">
        <v>182505</v>
      </c>
    </row>
    <row r="116" spans="1:4" s="35" customFormat="1" x14ac:dyDescent="0.2">
      <c r="A116" s="35" t="s">
        <v>265</v>
      </c>
      <c r="B116" s="91">
        <v>0</v>
      </c>
      <c r="C116" s="91">
        <v>37664</v>
      </c>
      <c r="D116" s="91">
        <v>0</v>
      </c>
    </row>
    <row r="117" spans="1:4" s="35" customFormat="1" x14ac:dyDescent="0.2">
      <c r="A117" s="35" t="s">
        <v>266</v>
      </c>
      <c r="B117" s="91">
        <v>18962</v>
      </c>
      <c r="C117" s="91">
        <v>25084</v>
      </c>
      <c r="D117" s="91">
        <v>30490</v>
      </c>
    </row>
    <row r="118" spans="1:4" s="35" customFormat="1" x14ac:dyDescent="0.2">
      <c r="A118" s="69"/>
      <c r="B118" s="74"/>
      <c r="C118" s="74"/>
      <c r="D118" s="74"/>
    </row>
    <row r="119" spans="1:4" s="35" customFormat="1" x14ac:dyDescent="0.2">
      <c r="A119" s="81" t="s">
        <v>267</v>
      </c>
      <c r="B119" s="82">
        <f>B92-B99</f>
        <v>761415</v>
      </c>
      <c r="C119" s="82">
        <f>C92-C99</f>
        <v>1500459</v>
      </c>
      <c r="D119" s="82">
        <f>D92-D99</f>
        <v>951023</v>
      </c>
    </row>
    <row r="120" spans="1:4" s="35" customFormat="1" x14ac:dyDescent="0.2">
      <c r="A120" s="69"/>
      <c r="B120" s="74"/>
      <c r="C120" s="74"/>
      <c r="D120" s="74"/>
    </row>
    <row r="121" spans="1:4" s="35" customFormat="1" x14ac:dyDescent="0.2">
      <c r="A121" s="83" t="s">
        <v>268</v>
      </c>
      <c r="B121" s="86">
        <f>B122+B128-B133+B139</f>
        <v>3503</v>
      </c>
      <c r="C121" s="86">
        <f>C122+C128-C133+C139</f>
        <v>13566</v>
      </c>
      <c r="D121" s="86">
        <f>D122+D128-D133+D139</f>
        <v>-62220</v>
      </c>
    </row>
    <row r="122" spans="1:4" s="35" customFormat="1" x14ac:dyDescent="0.2">
      <c r="A122" s="35" t="s">
        <v>293</v>
      </c>
      <c r="B122" s="73">
        <f>+B123+B124+B125+B126+B127</f>
        <v>0</v>
      </c>
      <c r="C122" s="73">
        <f t="shared" ref="C122:D122" si="9">+C123+C124+C125+C126+C127</f>
        <v>0</v>
      </c>
      <c r="D122" s="73">
        <f t="shared" si="9"/>
        <v>0</v>
      </c>
    </row>
    <row r="123" spans="1:4" s="35" customFormat="1" x14ac:dyDescent="0.2">
      <c r="A123" s="35" t="s">
        <v>327</v>
      </c>
      <c r="B123" s="91">
        <v>0</v>
      </c>
      <c r="C123" s="91">
        <v>0</v>
      </c>
      <c r="D123" s="91">
        <v>0</v>
      </c>
    </row>
    <row r="124" spans="1:4" s="35" customFormat="1" x14ac:dyDescent="0.2">
      <c r="A124" s="35" t="s">
        <v>328</v>
      </c>
      <c r="B124" s="91"/>
      <c r="C124" s="91"/>
      <c r="D124" s="91"/>
    </row>
    <row r="125" spans="1:4" s="35" customFormat="1" x14ac:dyDescent="0.2">
      <c r="A125" s="35" t="s">
        <v>374</v>
      </c>
      <c r="B125" s="91"/>
      <c r="C125" s="91"/>
      <c r="D125" s="91"/>
    </row>
    <row r="126" spans="1:4" s="35" customFormat="1" x14ac:dyDescent="0.2">
      <c r="A126" s="28" t="s">
        <v>373</v>
      </c>
      <c r="B126" s="91">
        <v>0</v>
      </c>
      <c r="C126" s="91">
        <v>0</v>
      </c>
      <c r="D126" s="91">
        <v>0</v>
      </c>
    </row>
    <row r="127" spans="1:4" s="35" customFormat="1" x14ac:dyDescent="0.2">
      <c r="A127" s="28" t="s">
        <v>386</v>
      </c>
      <c r="B127" s="91"/>
      <c r="C127" s="91"/>
      <c r="D127" s="91"/>
    </row>
    <row r="128" spans="1:4" s="35" customFormat="1" x14ac:dyDescent="0.2">
      <c r="A128" s="35" t="s">
        <v>269</v>
      </c>
      <c r="B128" s="73">
        <f>+B129+B130+B131+B132</f>
        <v>3949</v>
      </c>
      <c r="C128" s="73">
        <f>+C129+C130+C131+C132</f>
        <v>23303</v>
      </c>
      <c r="D128" s="73">
        <f>+D129+D130+D131+D132</f>
        <v>4727</v>
      </c>
    </row>
    <row r="129" spans="1:4" s="35" customFormat="1" x14ac:dyDescent="0.2">
      <c r="A129" s="35" t="s">
        <v>270</v>
      </c>
      <c r="B129" s="91"/>
      <c r="C129" s="91"/>
      <c r="D129" s="91"/>
    </row>
    <row r="130" spans="1:4" s="35" customFormat="1" x14ac:dyDescent="0.2">
      <c r="A130" s="35" t="s">
        <v>325</v>
      </c>
      <c r="B130" s="91"/>
      <c r="C130" s="91"/>
      <c r="D130" s="91"/>
    </row>
    <row r="131" spans="1:4" s="35" customFormat="1" x14ac:dyDescent="0.2">
      <c r="A131" s="35" t="s">
        <v>326</v>
      </c>
      <c r="B131" s="91"/>
      <c r="C131" s="91"/>
      <c r="D131" s="91"/>
    </row>
    <row r="132" spans="1:4" s="35" customFormat="1" x14ac:dyDescent="0.2">
      <c r="A132" s="35" t="s">
        <v>271</v>
      </c>
      <c r="B132" s="91">
        <v>3949</v>
      </c>
      <c r="C132" s="91">
        <v>23303</v>
      </c>
      <c r="D132" s="91">
        <v>4727</v>
      </c>
    </row>
    <row r="133" spans="1:4" s="35" customFormat="1" x14ac:dyDescent="0.2">
      <c r="A133" s="35" t="s">
        <v>272</v>
      </c>
      <c r="B133" s="73">
        <f>+B134+B135+B136+B137+B138</f>
        <v>446</v>
      </c>
      <c r="C133" s="73">
        <f t="shared" ref="C133:D133" si="10">+C134+C135+C136+C137+C138</f>
        <v>9737</v>
      </c>
      <c r="D133" s="73">
        <f t="shared" si="10"/>
        <v>66947</v>
      </c>
    </row>
    <row r="134" spans="1:4" s="35" customFormat="1" x14ac:dyDescent="0.2">
      <c r="A134" s="35" t="s">
        <v>329</v>
      </c>
      <c r="B134" s="91"/>
      <c r="C134" s="91"/>
      <c r="D134" s="91"/>
    </row>
    <row r="135" spans="1:4" s="35" customFormat="1" x14ac:dyDescent="0.2">
      <c r="A135" s="35" t="s">
        <v>330</v>
      </c>
      <c r="B135" s="91"/>
      <c r="C135" s="91"/>
      <c r="D135" s="91"/>
    </row>
    <row r="136" spans="1:4" s="35" customFormat="1" x14ac:dyDescent="0.2">
      <c r="A136" s="35" t="s">
        <v>331</v>
      </c>
      <c r="B136" s="91"/>
      <c r="C136" s="91"/>
      <c r="D136" s="91"/>
    </row>
    <row r="137" spans="1:4" s="35" customFormat="1" x14ac:dyDescent="0.2">
      <c r="A137" s="28" t="s">
        <v>375</v>
      </c>
      <c r="B137" s="91"/>
      <c r="C137" s="91"/>
      <c r="D137" s="91"/>
    </row>
    <row r="138" spans="1:4" s="35" customFormat="1" x14ac:dyDescent="0.2">
      <c r="A138" s="35" t="s">
        <v>376</v>
      </c>
      <c r="B138" s="91">
        <v>446</v>
      </c>
      <c r="C138" s="91">
        <v>9737</v>
      </c>
      <c r="D138" s="91">
        <v>66947</v>
      </c>
    </row>
    <row r="139" spans="1:4" s="35" customFormat="1" x14ac:dyDescent="0.2">
      <c r="A139" s="35" t="s">
        <v>273</v>
      </c>
      <c r="B139" s="91">
        <v>0</v>
      </c>
      <c r="C139" s="91">
        <v>0</v>
      </c>
      <c r="D139" s="91">
        <v>0</v>
      </c>
    </row>
    <row r="140" spans="1:4" s="35" customFormat="1" x14ac:dyDescent="0.2">
      <c r="B140" s="73"/>
      <c r="C140" s="73"/>
      <c r="D140" s="73"/>
    </row>
    <row r="141" spans="1:4" s="35" customFormat="1" x14ac:dyDescent="0.2">
      <c r="A141" s="83" t="s">
        <v>274</v>
      </c>
      <c r="B141" s="86">
        <f>+B142-B147</f>
        <v>0</v>
      </c>
      <c r="C141" s="86">
        <f>+C142-C147</f>
        <v>0</v>
      </c>
      <c r="D141" s="86">
        <f>+D142-D147</f>
        <v>0</v>
      </c>
    </row>
    <row r="142" spans="1:4" s="35" customFormat="1" x14ac:dyDescent="0.2">
      <c r="A142" s="35" t="s">
        <v>275</v>
      </c>
      <c r="B142" s="73">
        <f>+B143+B144+B145+B146</f>
        <v>0</v>
      </c>
      <c r="C142" s="73">
        <f t="shared" ref="C142:D142" si="11">+C143+C144+C145+C146</f>
        <v>0</v>
      </c>
      <c r="D142" s="73">
        <f t="shared" si="11"/>
        <v>0</v>
      </c>
    </row>
    <row r="143" spans="1:4" s="35" customFormat="1" x14ac:dyDescent="0.2">
      <c r="A143" s="35" t="s">
        <v>276</v>
      </c>
      <c r="B143" s="91">
        <v>0</v>
      </c>
      <c r="C143" s="91">
        <v>0</v>
      </c>
      <c r="D143" s="91">
        <v>0</v>
      </c>
    </row>
    <row r="144" spans="1:4" s="35" customFormat="1" x14ac:dyDescent="0.2">
      <c r="A144" s="35" t="s">
        <v>332</v>
      </c>
      <c r="B144" s="91"/>
      <c r="C144" s="91"/>
      <c r="D144" s="91"/>
    </row>
    <row r="145" spans="1:5" s="35" customFormat="1" x14ac:dyDescent="0.2">
      <c r="A145" s="35" t="s">
        <v>333</v>
      </c>
      <c r="B145" s="91"/>
      <c r="C145" s="91"/>
      <c r="D145" s="91"/>
    </row>
    <row r="146" spans="1:5" s="35" customFormat="1" x14ac:dyDescent="0.2">
      <c r="A146" s="28" t="s">
        <v>377</v>
      </c>
      <c r="B146" s="129"/>
      <c r="C146" s="129"/>
      <c r="D146" s="129"/>
    </row>
    <row r="147" spans="1:5" s="35" customFormat="1" x14ac:dyDescent="0.2">
      <c r="A147" s="35" t="s">
        <v>277</v>
      </c>
      <c r="B147" s="73">
        <f>+B148+B149+B150+B151</f>
        <v>0</v>
      </c>
      <c r="C147" s="73">
        <f t="shared" ref="C147:D147" si="12">+C148+C149+C150+C151</f>
        <v>0</v>
      </c>
      <c r="D147" s="73">
        <f t="shared" si="12"/>
        <v>0</v>
      </c>
    </row>
    <row r="148" spans="1:5" s="35" customFormat="1" x14ac:dyDescent="0.2">
      <c r="A148" s="35" t="s">
        <v>276</v>
      </c>
      <c r="B148" s="91">
        <v>0</v>
      </c>
      <c r="C148" s="91">
        <v>0</v>
      </c>
      <c r="D148" s="91">
        <v>0</v>
      </c>
    </row>
    <row r="149" spans="1:5" s="35" customFormat="1" x14ac:dyDescent="0.2">
      <c r="A149" s="35" t="s">
        <v>332</v>
      </c>
      <c r="B149" s="91"/>
      <c r="C149" s="91"/>
      <c r="D149" s="91"/>
    </row>
    <row r="150" spans="1:5" s="35" customFormat="1" x14ac:dyDescent="0.2">
      <c r="A150" s="35" t="s">
        <v>333</v>
      </c>
      <c r="B150" s="91"/>
      <c r="C150" s="91"/>
      <c r="D150" s="91"/>
    </row>
    <row r="151" spans="1:5" s="35" customFormat="1" x14ac:dyDescent="0.2">
      <c r="A151" s="28" t="s">
        <v>378</v>
      </c>
      <c r="B151" s="91"/>
      <c r="C151" s="91"/>
      <c r="D151" s="91"/>
      <c r="E151" s="77"/>
    </row>
    <row r="152" spans="1:5" s="28" customFormat="1" x14ac:dyDescent="0.2">
      <c r="A152" s="35"/>
      <c r="B152" s="73"/>
      <c r="C152" s="73"/>
      <c r="D152" s="73"/>
      <c r="E152" s="130"/>
    </row>
    <row r="153" spans="1:5" s="35" customFormat="1" x14ac:dyDescent="0.2">
      <c r="A153" s="81" t="s">
        <v>278</v>
      </c>
      <c r="B153" s="82">
        <f>B119+B121+B141</f>
        <v>764918</v>
      </c>
      <c r="C153" s="82">
        <f t="shared" ref="C153:D153" si="13">C119+C121+C141</f>
        <v>1514025</v>
      </c>
      <c r="D153" s="82">
        <f t="shared" si="13"/>
        <v>888803</v>
      </c>
    </row>
    <row r="154" spans="1:5" s="35" customFormat="1" x14ac:dyDescent="0.2">
      <c r="A154" s="35" t="s">
        <v>379</v>
      </c>
      <c r="B154" s="73">
        <f>SUM(B155:B158)</f>
        <v>206448</v>
      </c>
      <c r="C154" s="73">
        <f t="shared" ref="C154:D154" si="14">SUM(C155:C158)</f>
        <v>501470</v>
      </c>
      <c r="D154" s="73">
        <f t="shared" si="14"/>
        <v>256241</v>
      </c>
    </row>
    <row r="155" spans="1:5" s="35" customFormat="1" x14ac:dyDescent="0.2">
      <c r="A155" s="35" t="s">
        <v>334</v>
      </c>
      <c r="B155" s="91">
        <v>206448</v>
      </c>
      <c r="C155" s="91">
        <v>501470</v>
      </c>
      <c r="D155" s="91">
        <v>256241</v>
      </c>
    </row>
    <row r="156" spans="1:5" s="35" customFormat="1" x14ac:dyDescent="0.2">
      <c r="A156" s="35" t="s">
        <v>335</v>
      </c>
      <c r="B156" s="91"/>
      <c r="C156" s="91"/>
      <c r="D156" s="91"/>
    </row>
    <row r="157" spans="1:5" s="35" customFormat="1" x14ac:dyDescent="0.2">
      <c r="A157" s="35" t="s">
        <v>336</v>
      </c>
      <c r="B157" s="91"/>
      <c r="C157" s="91"/>
      <c r="D157" s="91"/>
    </row>
    <row r="158" spans="1:5" s="35" customFormat="1" x14ac:dyDescent="0.2">
      <c r="A158" s="35" t="s">
        <v>337</v>
      </c>
      <c r="B158" s="91"/>
      <c r="C158" s="91"/>
      <c r="D158" s="91"/>
    </row>
    <row r="159" spans="1:5" s="35" customFormat="1" x14ac:dyDescent="0.2">
      <c r="B159" s="73"/>
      <c r="C159" s="73"/>
      <c r="D159" s="73"/>
    </row>
    <row r="160" spans="1:5" s="35" customFormat="1" x14ac:dyDescent="0.2">
      <c r="A160" s="81" t="s">
        <v>338</v>
      </c>
      <c r="B160" s="82">
        <f>B153-B154</f>
        <v>558470</v>
      </c>
      <c r="C160" s="82">
        <f>C153-C154</f>
        <v>1012555</v>
      </c>
      <c r="D160" s="82">
        <f>D153-D154</f>
        <v>632562</v>
      </c>
    </row>
    <row r="161" spans="1:4" s="35" customFormat="1" x14ac:dyDescent="0.2">
      <c r="A161" s="35" t="s">
        <v>380</v>
      </c>
      <c r="B161" s="91"/>
      <c r="C161" s="91"/>
      <c r="D161" s="91"/>
    </row>
    <row r="162" spans="1:4" s="35" customFormat="1" x14ac:dyDescent="0.2">
      <c r="A162" s="35" t="s">
        <v>381</v>
      </c>
      <c r="B162" s="91"/>
      <c r="C162" s="91"/>
      <c r="D162" s="91"/>
    </row>
    <row r="163" spans="1:4" s="35" customFormat="1" ht="13.5" thickBot="1" x14ac:dyDescent="0.25">
      <c r="A163" s="27"/>
    </row>
    <row r="164" spans="1:4" s="35" customFormat="1" ht="13.5" thickBot="1" x14ac:dyDescent="0.25">
      <c r="A164" s="131" t="s">
        <v>123</v>
      </c>
      <c r="B164" s="132">
        <f>+B160-G20-G24</f>
        <v>0</v>
      </c>
      <c r="C164" s="132">
        <f t="shared" ref="C164:D164" si="15">+C160-H20-H24</f>
        <v>0</v>
      </c>
      <c r="D164" s="133">
        <f t="shared" si="15"/>
        <v>0</v>
      </c>
    </row>
    <row r="165" spans="1:4" s="35" customFormat="1" x14ac:dyDescent="0.2"/>
    <row r="166" spans="1:4" s="35" customFormat="1" x14ac:dyDescent="0.2"/>
    <row r="167" spans="1:4" s="35" customFormat="1" x14ac:dyDescent="0.2">
      <c r="A167" s="95" t="s">
        <v>340</v>
      </c>
      <c r="B167" s="99"/>
      <c r="C167" s="99"/>
      <c r="D167" s="99"/>
    </row>
    <row r="168" spans="1:4" s="35" customFormat="1" x14ac:dyDescent="0.2"/>
    <row r="169" spans="1:4" s="35" customFormat="1" x14ac:dyDescent="0.2"/>
    <row r="170" spans="1:4" s="35" customFormat="1" x14ac:dyDescent="0.2"/>
    <row r="171" spans="1:4" s="35" customFormat="1" x14ac:dyDescent="0.2"/>
    <row r="172" spans="1:4" s="35" customFormat="1" x14ac:dyDescent="0.2"/>
    <row r="176" spans="1:4" x14ac:dyDescent="0.2">
      <c r="B176" s="77"/>
      <c r="C176" s="77"/>
      <c r="D176" s="77"/>
    </row>
  </sheetData>
  <conditionalFormatting sqref="B164:D164">
    <cfRule type="cellIs" dxfId="1" priority="2" operator="equal">
      <formula>0</formula>
    </cfRule>
  </conditionalFormatting>
  <conditionalFormatting sqref="G80:I80">
    <cfRule type="cellIs" dxfId="0" priority="1" operator="equal">
      <formula>0</formula>
    </cfRule>
  </conditionalFormatting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sint HQ</vt:lpstr>
      <vt:lpstr>cash flow FGA</vt:lpstr>
      <vt:lpstr>CEE view</vt:lpstr>
      <vt:lpstr>input CEE</vt:lpstr>
    </vt:vector>
  </TitlesOfParts>
  <Company>FIATGROUP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cp:lastModifiedBy>FABRIZIO TURIGLIATTO (EXTERNAL)</cp:lastModifiedBy>
  <dcterms:created xsi:type="dcterms:W3CDTF">2012-09-11T07:34:11Z</dcterms:created>
  <dcterms:modified xsi:type="dcterms:W3CDTF">2026-02-03T13:50:57Z</dcterms:modified>
</cp:coreProperties>
</file>